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https://d.docs.live.net/ce99177b26c586f9/Desktop/office automation tools/"/>
    </mc:Choice>
  </mc:AlternateContent>
  <xr:revisionPtr revIDLastSave="316" documentId="8_{7CBFD863-0CA8-4E3B-B37A-B5BA8AAC9F8D}" xr6:coauthVersionLast="47" xr6:coauthVersionMax="47" xr10:uidLastSave="{023E4DFF-12CC-4B87-B85E-D64F3BFB8908}"/>
  <bookViews>
    <workbookView minimized="1" xWindow="5380" yWindow="1020" windowWidth="14840" windowHeight="11280" activeTab="6" xr2:uid="{DE9D1B5C-2EED-4DC8-8E28-36B0BC500D0F}"/>
  </bookViews>
  <sheets>
    <sheet name="Sheet1" sheetId="1" r:id="rId1"/>
    <sheet name="Sheet4" sheetId="4" r:id="rId2"/>
    <sheet name="Sheet5" sheetId="5" r:id="rId3"/>
    <sheet name="Sheet3" sheetId="9" r:id="rId4"/>
    <sheet name="Sheet6" sheetId="6" r:id="rId5"/>
    <sheet name="Sheet2" sheetId="8" r:id="rId6"/>
    <sheet name="Sheet7" sheetId="7" r:id="rId7"/>
  </sheets>
  <definedNames>
    <definedName name="ClassA">Sheet2!$A$2:$A$11</definedName>
    <definedName name="ClassB">Sheet2!$B$2:$B$11</definedName>
    <definedName name="ClassC">Sheet2!$C$2:$C$11</definedName>
    <definedName name="Slicer_Date">#N/A</definedName>
    <definedName name="Slicer_Marketing_Price">#N/A</definedName>
    <definedName name="Slicer_Region">#N/A</definedName>
    <definedName name="Slicer_Sales">#N/A</definedName>
    <definedName name="Slicer_Sales1">#N/A</definedName>
    <definedName name="Slicer_Salesperson">#N/A</definedName>
  </definedNames>
  <calcPr calcId="191029"/>
  <pivotCaches>
    <pivotCache cacheId="2"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9" i="9" l="1"/>
  <c r="B9" i="9"/>
  <c r="C9" i="9"/>
  <c r="D9" i="9"/>
  <c r="E9" i="9"/>
  <c r="F9" i="9"/>
  <c r="F10" i="9" s="1"/>
  <c r="F11" i="9" s="1"/>
  <c r="F12" i="9" s="1"/>
  <c r="G9" i="9"/>
  <c r="G10" i="9" s="1"/>
  <c r="G11" i="9" s="1"/>
  <c r="G12" i="9" s="1"/>
  <c r="A10" i="9"/>
  <c r="A11" i="9" s="1"/>
  <c r="A12" i="9" s="1"/>
  <c r="B10" i="9"/>
  <c r="B11" i="9" s="1"/>
  <c r="B12" i="9" s="1"/>
  <c r="C10" i="9"/>
  <c r="C11" i="9" s="1"/>
  <c r="C12" i="9" s="1"/>
  <c r="D10" i="9"/>
  <c r="D11" i="9" s="1"/>
  <c r="D12" i="9" s="1"/>
  <c r="E10" i="9"/>
  <c r="E11" i="9" s="1"/>
  <c r="E12" i="9" s="1"/>
  <c r="B8" i="9"/>
  <c r="C8" i="9"/>
  <c r="D8" i="9"/>
  <c r="E8" i="9"/>
  <c r="F8" i="9"/>
  <c r="G8" i="9"/>
  <c r="A8" i="9"/>
  <c r="C7" i="9"/>
  <c r="D7" i="9" s="1"/>
  <c r="E7" i="9" s="1"/>
  <c r="F7" i="9" s="1"/>
  <c r="G7" i="9" s="1"/>
  <c r="B7" i="9"/>
  <c r="A7" i="9"/>
  <c r="B21" i="6"/>
  <c r="B20" i="6"/>
  <c r="B19" i="6"/>
  <c r="J16" i="6"/>
  <c r="J15" i="6"/>
  <c r="J14" i="6"/>
  <c r="J13" i="6"/>
  <c r="J12" i="6"/>
  <c r="J11" i="6"/>
  <c r="J10" i="6"/>
  <c r="J9" i="6"/>
  <c r="J8" i="6"/>
  <c r="J7" i="6"/>
  <c r="J6" i="6"/>
  <c r="J5" i="6"/>
  <c r="J4" i="6"/>
  <c r="J3" i="6"/>
  <c r="J2" i="6"/>
</calcChain>
</file>

<file path=xl/sharedStrings.xml><?xml version="1.0" encoding="utf-8"?>
<sst xmlns="http://schemas.openxmlformats.org/spreadsheetml/2006/main" count="333" uniqueCount="147">
  <si>
    <t>Date</t>
  </si>
  <si>
    <t>Region</t>
  </si>
  <si>
    <t>Salesperson</t>
  </si>
  <si>
    <t>Sales ($)</t>
  </si>
  <si>
    <t>Marketing Price ($)</t>
  </si>
  <si>
    <t>North</t>
  </si>
  <si>
    <t>John Doe</t>
  </si>
  <si>
    <t>South</t>
  </si>
  <si>
    <t>Jane Smith</t>
  </si>
  <si>
    <t>East</t>
  </si>
  <si>
    <t>Mike Jones</t>
  </si>
  <si>
    <t>West</t>
  </si>
  <si>
    <t>Alice Brown</t>
  </si>
  <si>
    <t>Emma Wilson</t>
  </si>
  <si>
    <t>Liam Davies</t>
  </si>
  <si>
    <t>Row Labels</t>
  </si>
  <si>
    <t>Grand Total</t>
  </si>
  <si>
    <t>Sum of Sales ($)</t>
  </si>
  <si>
    <t>(All)</t>
  </si>
  <si>
    <t>Jan</t>
  </si>
  <si>
    <t>Feb</t>
  </si>
  <si>
    <t>Mar</t>
  </si>
  <si>
    <t>Apr</t>
  </si>
  <si>
    <t>May</t>
  </si>
  <si>
    <t>Jun</t>
  </si>
  <si>
    <t>Jul</t>
  </si>
  <si>
    <t>Count of Salesperson</t>
  </si>
  <si>
    <t>Student ErNo.</t>
  </si>
  <si>
    <t>First Name</t>
  </si>
  <si>
    <t>Last Name</t>
  </si>
  <si>
    <t>Student Age</t>
  </si>
  <si>
    <t>Subject 1 (Math)</t>
  </si>
  <si>
    <t>Subject 2 (Science)</t>
  </si>
  <si>
    <t>Subject 3 (English)</t>
  </si>
  <si>
    <t>Subject 4 (History)</t>
  </si>
  <si>
    <t>Subject 5 (Computer)</t>
  </si>
  <si>
    <t>Total</t>
  </si>
  <si>
    <t>EN010</t>
  </si>
  <si>
    <t>Riya</t>
  </si>
  <si>
    <t>Sen</t>
  </si>
  <si>
    <t>EN014</t>
  </si>
  <si>
    <t>Sneha</t>
  </si>
  <si>
    <t>Kulkarni</t>
  </si>
  <si>
    <t>EN006</t>
  </si>
  <si>
    <t>Isha</t>
  </si>
  <si>
    <t>Gupta</t>
  </si>
  <si>
    <t>EN002</t>
  </si>
  <si>
    <t>Diya</t>
  </si>
  <si>
    <t>Patel</t>
  </si>
  <si>
    <t>EN012</t>
  </si>
  <si>
    <t>Kritika</t>
  </si>
  <si>
    <t>Malhotra</t>
  </si>
  <si>
    <t>EN004</t>
  </si>
  <si>
    <t>Ananya</t>
  </si>
  <si>
    <t>Iyer</t>
  </si>
  <si>
    <t>EN008</t>
  </si>
  <si>
    <t>Myra</t>
  </si>
  <si>
    <t>Joshi</t>
  </si>
  <si>
    <t>EN005</t>
  </si>
  <si>
    <t>Vivaan</t>
  </si>
  <si>
    <t>Reddy</t>
  </si>
  <si>
    <t>EN013</t>
  </si>
  <si>
    <t>Aditya</t>
  </si>
  <si>
    <t>Rao</t>
  </si>
  <si>
    <t>EN011</t>
  </si>
  <si>
    <t>Rohan</t>
  </si>
  <si>
    <t>Das</t>
  </si>
  <si>
    <t>EN007</t>
  </si>
  <si>
    <t>Arjun</t>
  </si>
  <si>
    <t>Nair</t>
  </si>
  <si>
    <t>EN003</t>
  </si>
  <si>
    <t>Kabir</t>
  </si>
  <si>
    <t>Verma</t>
  </si>
  <si>
    <t>EN015</t>
  </si>
  <si>
    <t>Dev</t>
  </si>
  <si>
    <t>Shah</t>
  </si>
  <si>
    <t>EN009</t>
  </si>
  <si>
    <t>Sai</t>
  </si>
  <si>
    <t>Prasad</t>
  </si>
  <si>
    <t>EN001</t>
  </si>
  <si>
    <t>Aarav</t>
  </si>
  <si>
    <t>Sharma</t>
  </si>
  <si>
    <t>Roll No</t>
  </si>
  <si>
    <t>Student Name</t>
  </si>
  <si>
    <t>Aarav Patel</t>
  </si>
  <si>
    <t>Amit Kumar</t>
  </si>
  <si>
    <t>Ananya Sen</t>
  </si>
  <si>
    <t>Diya Shah</t>
  </si>
  <si>
    <t>Kabir Joshi</t>
  </si>
  <si>
    <t>Manoj Tiwari</t>
  </si>
  <si>
    <t>Neha Gupta</t>
  </si>
  <si>
    <t>Pooja Nair</t>
  </si>
  <si>
    <t>Priya Das</t>
  </si>
  <si>
    <t>Rahul Verma</t>
  </si>
  <si>
    <t>Ritu Sharma</t>
  </si>
  <si>
    <t>Rohan Mehta</t>
  </si>
  <si>
    <t>Sneha Rao</t>
  </si>
  <si>
    <t>Vikram Singh</t>
  </si>
  <si>
    <t>A</t>
  </si>
  <si>
    <t>P</t>
  </si>
  <si>
    <t>LOOKUP VALUE</t>
  </si>
  <si>
    <t>XLOOKUP</t>
  </si>
  <si>
    <t>MATCH</t>
  </si>
  <si>
    <t>INDEX</t>
  </si>
  <si>
    <t>Class A</t>
  </si>
  <si>
    <t>Class B</t>
  </si>
  <si>
    <t>Class C</t>
  </si>
  <si>
    <t>Liam Smith</t>
  </si>
  <si>
    <t>Benjamin Gonzalez</t>
  </si>
  <si>
    <t>Michael Thompson</t>
  </si>
  <si>
    <t>Emma Johnson</t>
  </si>
  <si>
    <t>Isabella Wilson</t>
  </si>
  <si>
    <t>Gianna White</t>
  </si>
  <si>
    <t>Oliver Brown</t>
  </si>
  <si>
    <t>Lucas Anderson</t>
  </si>
  <si>
    <t>Ethan Harris</t>
  </si>
  <si>
    <t>Ava Garcia</t>
  </si>
  <si>
    <t>Mia Thomas</t>
  </si>
  <si>
    <t>Abigail Sanchez</t>
  </si>
  <si>
    <t>Elijah Miller</t>
  </si>
  <si>
    <t>Henry Taylor</t>
  </si>
  <si>
    <t>Daniel Clark</t>
  </si>
  <si>
    <t>Charlotte Davis</t>
  </si>
  <si>
    <t>Evelyn Moore</t>
  </si>
  <si>
    <t>Luna Ramirez</t>
  </si>
  <si>
    <t>William Rodriguez</t>
  </si>
  <si>
    <t>Alexander Jackson</t>
  </si>
  <si>
    <t>Jacob Lewis</t>
  </si>
  <si>
    <t>Sophia Martinez</t>
  </si>
  <si>
    <t>Harper Martin</t>
  </si>
  <si>
    <t>Ella Robinson</t>
  </si>
  <si>
    <t>James Hernandez</t>
  </si>
  <si>
    <t>Mason Lee</t>
  </si>
  <si>
    <t>Logan Walker</t>
  </si>
  <si>
    <t>Amelia Lopez</t>
  </si>
  <si>
    <t>Camila Perez</t>
  </si>
  <si>
    <t>Aria Young</t>
  </si>
  <si>
    <t xml:space="preserve">ClassB </t>
  </si>
  <si>
    <t>MONTH</t>
  </si>
  <si>
    <t>YEAR</t>
  </si>
  <si>
    <t>SUNDAY</t>
  </si>
  <si>
    <t>MONDAY</t>
  </si>
  <si>
    <t>TUESDAY</t>
  </si>
  <si>
    <t>WEDNESDAY</t>
  </si>
  <si>
    <t>THURSDAY</t>
  </si>
  <si>
    <t>FRIDAY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</si>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</sst>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rial"/>
      <family val="2"/>
    </font>
    <font>
      <sz val="11"/>
      <color theme="1"/>
      <name val="Arial"/>
      <family val="2"/>
    </font>
    <font>
      <b/>
      <sz val="12"/>
      <color theme="1"/>
      <name val="Aptos Light"/>
      <family val="2"/>
    </font>
    <font>
      <sz val="12"/>
      <color theme="1"/>
      <name val="Aptos Light"/>
      <family val="2"/>
    </font>
    <font>
      <b/>
      <sz val="12"/>
      <color theme="1"/>
      <name val="Aharoni"/>
      <charset val="177"/>
    </font>
    <font>
      <sz val="11"/>
      <color theme="1"/>
      <name val="Amasis MT Pro Light"/>
      <family val="1"/>
    </font>
    <font>
      <sz val="12"/>
      <color theme="1"/>
      <name val="Amasis MT Pro Light"/>
      <family val="1"/>
    </font>
    <font>
      <b/>
      <sz val="11"/>
      <color theme="1"/>
      <name val="Aptos Narrow"/>
      <family val="2"/>
      <scheme val="minor"/>
    </font>
    <font>
      <b/>
      <sz val="16"/>
      <color theme="1"/>
      <name val="Aptos Narrow"/>
      <family val="2"/>
      <scheme val="minor"/>
    </font>
    <font>
      <sz val="16"/>
      <color theme="1"/>
      <name val="Aptos Narrow"/>
      <family val="2"/>
      <scheme val="minor"/>
    </font>
    <font>
      <sz val="16"/>
      <color theme="1"/>
      <name val="Arabic Typesetting"/>
      <family val="4"/>
      <charset val="178"/>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3" fontId="0" fillId="0" borderId="0" xfId="0" applyNumberFormat="1"/>
    <xf numFmtId="0" fontId="1" fillId="0" borderId="0" xfId="0" applyFont="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applyAlignment="1">
      <alignment horizontal="left"/>
    </xf>
    <xf numFmtId="0" fontId="3" fillId="0" borderId="0" xfId="0" applyFont="1" applyAlignment="1">
      <alignment horizontal="center" vertical="center" wrapText="1"/>
    </xf>
    <xf numFmtId="14" fontId="0" fillId="0" borderId="0" xfId="0" applyNumberFormat="1"/>
    <xf numFmtId="0" fontId="10" fillId="0" borderId="0" xfId="0" applyFont="1"/>
    <xf numFmtId="14" fontId="2" fillId="0" borderId="0" xfId="0" applyNumberFormat="1" applyFont="1" applyAlignment="1">
      <alignment horizontal="center" vertical="center" wrapText="1"/>
    </xf>
    <xf numFmtId="0" fontId="2" fillId="0" borderId="0" xfId="0" applyFont="1" applyAlignment="1">
      <alignment horizontal="center" vertical="center" wrapText="1"/>
    </xf>
    <xf numFmtId="3" fontId="2" fillId="0" borderId="0" xfId="0" applyNumberFormat="1" applyFont="1" applyAlignment="1">
      <alignment horizontal="center" vertical="center" wrapText="1"/>
    </xf>
    <xf numFmtId="14" fontId="11" fillId="0" borderId="5" xfId="0" applyNumberFormat="1" applyFont="1" applyBorder="1" applyAlignment="1">
      <alignment horizontal="center"/>
    </xf>
    <xf numFmtId="14" fontId="11" fillId="0" borderId="0" xfId="0" applyNumberFormat="1" applyFont="1" applyAlignment="1">
      <alignment horizontal="center"/>
    </xf>
    <xf numFmtId="14" fontId="11" fillId="0" borderId="6" xfId="0" applyNumberFormat="1" applyFont="1" applyBorder="1" applyAlignment="1">
      <alignment horizontal="center"/>
    </xf>
    <xf numFmtId="14" fontId="11" fillId="0" borderId="7" xfId="0" applyNumberFormat="1" applyFont="1" applyBorder="1" applyAlignment="1">
      <alignment horizontal="center"/>
    </xf>
    <xf numFmtId="14" fontId="11" fillId="0" borderId="8" xfId="0" applyNumberFormat="1" applyFont="1" applyBorder="1" applyAlignment="1">
      <alignment horizontal="center"/>
    </xf>
    <xf numFmtId="14" fontId="11" fillId="0" borderId="9" xfId="0" applyNumberFormat="1" applyFont="1"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8"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14" fontId="0" fillId="0" borderId="0" xfId="0" applyNumberForma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wrapText="1"/>
    </xf>
  </cellXfs>
  <cellStyles count="1">
    <cellStyle name="Normal" xfId="0" builtinId="0"/>
  </cellStyles>
  <dxfs count="12">
    <dxf>
      <font>
        <color rgb="FF9C0006"/>
      </font>
      <fill>
        <patternFill>
          <bgColor rgb="FFFFC7CE"/>
        </patternFill>
      </fill>
    </dxf>
    <dxf>
      <font>
        <color rgb="FF006100"/>
      </font>
      <fill>
        <patternFill>
          <bgColor rgb="FFC6EFCE"/>
        </patternFill>
      </fill>
    </dxf>
    <dxf>
      <fill>
        <patternFill>
          <bgColor theme="9" tint="0.79998168889431442"/>
        </patternFill>
      </fill>
      <border>
        <vertical/>
        <horizontal/>
      </border>
    </dxf>
    <dxf>
      <fill>
        <patternFill>
          <bgColor theme="7" tint="0.79998168889431442"/>
        </patternFill>
      </fill>
      <border>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4" tint="0.79998168889431442"/>
        </patternFill>
      </fill>
      <border>
        <vertical/>
        <horizontal/>
      </border>
    </dxf>
    <dxf>
      <font>
        <color rgb="FF9C0006"/>
      </font>
      <fill>
        <patternFill>
          <bgColor rgb="FFFFC7CE"/>
        </patternFill>
      </fill>
    </dxf>
    <dxf>
      <font>
        <color rgb="FF006100"/>
      </font>
      <fill>
        <patternFill>
          <bgColor rgb="FFC6EFCE"/>
        </patternFill>
      </fill>
    </dxf>
    <dxf>
      <fill>
        <patternFill>
          <bgColor theme="7" tint="0.79998168889431442"/>
        </patternFill>
      </fill>
    </dxf>
    <dxf>
      <font>
        <color rgb="FF006100"/>
      </font>
      <fill>
        <patternFill>
          <bgColor rgb="FFC6EFCE"/>
        </patternFill>
      </fill>
    </dxf>
    <dxf>
      <fill>
        <patternFill>
          <bgColor theme="4" tint="0.7999816888943144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11 swasti.xlsx]Sheet1!PivotTable2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Sheet1!$I$3</c:f>
              <c:strCache>
                <c:ptCount val="1"/>
                <c:pt idx="0">
                  <c:v>Total</c:v>
                </c:pt>
              </c:strCache>
            </c:strRef>
          </c:tx>
          <c:spPr>
            <a:solidFill>
              <a:schemeClr val="accent1"/>
            </a:solidFill>
            <a:ln>
              <a:noFill/>
            </a:ln>
            <a:effectLst/>
          </c:spPr>
          <c:invertIfNegative val="0"/>
          <c:cat>
            <c:strRef>
              <c:f>Sheet1!$H$4:$H$10</c:f>
              <c:strCache>
                <c:ptCount val="6"/>
                <c:pt idx="0">
                  <c:v>Alice Brown</c:v>
                </c:pt>
                <c:pt idx="1">
                  <c:v>Emma Wilson</c:v>
                </c:pt>
                <c:pt idx="2">
                  <c:v>Jane Smith</c:v>
                </c:pt>
                <c:pt idx="3">
                  <c:v>John Doe</c:v>
                </c:pt>
                <c:pt idx="4">
                  <c:v>Liam Davies</c:v>
                </c:pt>
                <c:pt idx="5">
                  <c:v>Mike Jones</c:v>
                </c:pt>
              </c:strCache>
            </c:strRef>
          </c:cat>
          <c:val>
            <c:numRef>
              <c:f>Sheet1!$I$4:$I$10</c:f>
              <c:numCache>
                <c:formatCode>#,##0</c:formatCode>
                <c:ptCount val="6"/>
                <c:pt idx="0">
                  <c:v>64600</c:v>
                </c:pt>
                <c:pt idx="1">
                  <c:v>19400</c:v>
                </c:pt>
                <c:pt idx="2">
                  <c:v>39000</c:v>
                </c:pt>
                <c:pt idx="3">
                  <c:v>27600</c:v>
                </c:pt>
                <c:pt idx="4">
                  <c:v>35300</c:v>
                </c:pt>
                <c:pt idx="5">
                  <c:v>40400</c:v>
                </c:pt>
              </c:numCache>
            </c:numRef>
          </c:val>
          <c:extLst>
            <c:ext xmlns:c16="http://schemas.microsoft.com/office/drawing/2014/chart" uri="{C3380CC4-5D6E-409C-BE32-E72D297353CC}">
              <c16:uniqueId val="{00000000-BA51-491F-80AA-8F1267B49ED1}"/>
            </c:ext>
          </c:extLst>
        </c:ser>
        <c:dLbls>
          <c:showLegendKey val="0"/>
          <c:showVal val="0"/>
          <c:showCatName val="0"/>
          <c:showSerName val="0"/>
          <c:showPercent val="0"/>
          <c:showBubbleSize val="0"/>
        </c:dLbls>
        <c:gapWidth val="219"/>
        <c:overlap val="-27"/>
        <c:axId val="2020097440"/>
        <c:axId val="1605492464"/>
      </c:barChart>
      <c:catAx>
        <c:axId val="202009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492464"/>
        <c:crosses val="autoZero"/>
        <c:auto val="1"/>
        <c:lblAlgn val="ctr"/>
        <c:lblOffset val="100"/>
        <c:noMultiLvlLbl val="0"/>
      </c:catAx>
      <c:valAx>
        <c:axId val="1605492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09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11 swasti.xlsx]Sheet4!PivotTable4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Sheet4!$A$4:$A$11</c:f>
              <c:strCache>
                <c:ptCount val="7"/>
                <c:pt idx="0">
                  <c:v>Jan</c:v>
                </c:pt>
                <c:pt idx="1">
                  <c:v>Feb</c:v>
                </c:pt>
                <c:pt idx="2">
                  <c:v>Mar</c:v>
                </c:pt>
                <c:pt idx="3">
                  <c:v>Apr</c:v>
                </c:pt>
                <c:pt idx="4">
                  <c:v>May</c:v>
                </c:pt>
                <c:pt idx="5">
                  <c:v>Jun</c:v>
                </c:pt>
                <c:pt idx="6">
                  <c:v>Jul</c:v>
                </c:pt>
              </c:strCache>
            </c:strRef>
          </c:cat>
          <c:val>
            <c:numRef>
              <c:f>Sheet4!$B$4:$B$11</c:f>
              <c:numCache>
                <c:formatCode>#,##0</c:formatCode>
                <c:ptCount val="7"/>
                <c:pt idx="0">
                  <c:v>26700</c:v>
                </c:pt>
                <c:pt idx="1">
                  <c:v>28300</c:v>
                </c:pt>
                <c:pt idx="2">
                  <c:v>26100</c:v>
                </c:pt>
                <c:pt idx="3">
                  <c:v>35400</c:v>
                </c:pt>
                <c:pt idx="4">
                  <c:v>25200</c:v>
                </c:pt>
                <c:pt idx="5">
                  <c:v>51800</c:v>
                </c:pt>
                <c:pt idx="6">
                  <c:v>32800</c:v>
                </c:pt>
              </c:numCache>
            </c:numRef>
          </c:val>
          <c:smooth val="0"/>
          <c:extLst>
            <c:ext xmlns:c16="http://schemas.microsoft.com/office/drawing/2014/chart" uri="{C3380CC4-5D6E-409C-BE32-E72D297353CC}">
              <c16:uniqueId val="{00000000-46D5-4815-8115-29B8971276B9}"/>
            </c:ext>
          </c:extLst>
        </c:ser>
        <c:dLbls>
          <c:showLegendKey val="0"/>
          <c:showVal val="0"/>
          <c:showCatName val="0"/>
          <c:showSerName val="0"/>
          <c:showPercent val="0"/>
          <c:showBubbleSize val="0"/>
        </c:dLbls>
        <c:smooth val="0"/>
        <c:axId val="2020109968"/>
        <c:axId val="1605498704"/>
      </c:lineChart>
      <c:catAx>
        <c:axId val="202010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498704"/>
        <c:crosses val="autoZero"/>
        <c:auto val="1"/>
        <c:lblAlgn val="ctr"/>
        <c:lblOffset val="100"/>
        <c:noMultiLvlLbl val="0"/>
      </c:catAx>
      <c:valAx>
        <c:axId val="1605498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10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11 swasti.xlsx]Sheet5!PivotTable5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Sheet5!$B$4</c:f>
              <c:strCache>
                <c:ptCount val="1"/>
                <c:pt idx="0">
                  <c:v>Total</c:v>
                </c:pt>
              </c:strCache>
            </c:strRef>
          </c:tx>
          <c:spPr>
            <a:ln w="28575" cap="rnd">
              <a:solidFill>
                <a:schemeClr val="accent1"/>
              </a:solidFill>
              <a:round/>
            </a:ln>
            <a:effectLst/>
          </c:spPr>
          <c:marker>
            <c:symbol val="none"/>
          </c:marker>
          <c:cat>
            <c:strRef>
              <c:f>Sheet5!$A$5:$A$20</c:f>
              <c:strCache>
                <c:ptCount val="15"/>
                <c:pt idx="0">
                  <c:v>8,900</c:v>
                </c:pt>
                <c:pt idx="1">
                  <c:v>9,800</c:v>
                </c:pt>
                <c:pt idx="2">
                  <c:v>10,500</c:v>
                </c:pt>
                <c:pt idx="3">
                  <c:v>11,000</c:v>
                </c:pt>
                <c:pt idx="4">
                  <c:v>12,500</c:v>
                </c:pt>
                <c:pt idx="5">
                  <c:v>13,400</c:v>
                </c:pt>
                <c:pt idx="6">
                  <c:v>13,800</c:v>
                </c:pt>
                <c:pt idx="7">
                  <c:v>14,200</c:v>
                </c:pt>
                <c:pt idx="8">
                  <c:v>15,100</c:v>
                </c:pt>
                <c:pt idx="9">
                  <c:v>16,300</c:v>
                </c:pt>
                <c:pt idx="10">
                  <c:v>17,200</c:v>
                </c:pt>
                <c:pt idx="11">
                  <c:v>18,500</c:v>
                </c:pt>
                <c:pt idx="12">
                  <c:v>19,000</c:v>
                </c:pt>
                <c:pt idx="13">
                  <c:v>22,000</c:v>
                </c:pt>
                <c:pt idx="14">
                  <c:v>24,100</c:v>
                </c:pt>
              </c:strCache>
            </c:strRef>
          </c:cat>
          <c:val>
            <c:numRef>
              <c:f>Sheet5!$B$5:$B$20</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0-1428-42DF-9FD2-174FA6C8883E}"/>
            </c:ext>
          </c:extLst>
        </c:ser>
        <c:dLbls>
          <c:showLegendKey val="0"/>
          <c:showVal val="0"/>
          <c:showCatName val="0"/>
          <c:showSerName val="0"/>
          <c:showPercent val="0"/>
          <c:showBubbleSize val="0"/>
        </c:dLbls>
        <c:smooth val="0"/>
        <c:axId val="2020073776"/>
        <c:axId val="1605449264"/>
      </c:lineChart>
      <c:catAx>
        <c:axId val="202007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449264"/>
        <c:crosses val="autoZero"/>
        <c:auto val="1"/>
        <c:lblAlgn val="ctr"/>
        <c:lblOffset val="100"/>
        <c:noMultiLvlLbl val="0"/>
      </c:catAx>
      <c:valAx>
        <c:axId val="16054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07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281940</xdr:colOff>
      <xdr:row>12</xdr:row>
      <xdr:rowOff>7620</xdr:rowOff>
    </xdr:from>
    <xdr:to>
      <xdr:col>11</xdr:col>
      <xdr:colOff>579120</xdr:colOff>
      <xdr:row>27</xdr:row>
      <xdr:rowOff>7620</xdr:rowOff>
    </xdr:to>
    <xdr:graphicFrame macro="">
      <xdr:nvGraphicFramePr>
        <xdr:cNvPr id="5" name="Chart 4">
          <a:extLst>
            <a:ext uri="{FF2B5EF4-FFF2-40B4-BE49-F238E27FC236}">
              <a16:creationId xmlns:a16="http://schemas.microsoft.com/office/drawing/2014/main" id="{373E06E4-7ED2-26F3-9227-56B22C071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259080</xdr:colOff>
      <xdr:row>11</xdr:row>
      <xdr:rowOff>160020</xdr:rowOff>
    </xdr:from>
    <xdr:to>
      <xdr:col>15</xdr:col>
      <xdr:colOff>259080</xdr:colOff>
      <xdr:row>25</xdr:row>
      <xdr:rowOff>180975</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E10E0591-F108-F672-64A5-A242A2A3EEE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264140" y="2339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12</xdr:row>
      <xdr:rowOff>0</xdr:rowOff>
    </xdr:from>
    <xdr:to>
      <xdr:col>18</xdr:col>
      <xdr:colOff>426720</xdr:colOff>
      <xdr:row>26</xdr:row>
      <xdr:rowOff>20955</xdr:rowOff>
    </xdr:to>
    <mc:AlternateContent xmlns:mc="http://schemas.openxmlformats.org/markup-compatibility/2006" xmlns:a14="http://schemas.microsoft.com/office/drawing/2010/main">
      <mc:Choice Requires="a14">
        <xdr:graphicFrame macro="">
          <xdr:nvGraphicFramePr>
            <xdr:cNvPr id="7" name="Sales ($)">
              <a:extLst>
                <a:ext uri="{FF2B5EF4-FFF2-40B4-BE49-F238E27FC236}">
                  <a16:creationId xmlns:a16="http://schemas.microsoft.com/office/drawing/2014/main" id="{FAF78183-FB38-6530-3BF4-DB6493C266EF}"/>
                </a:ext>
              </a:extLst>
            </xdr:cNvPr>
            <xdr:cNvGraphicFramePr/>
          </xdr:nvGraphicFramePr>
          <xdr:xfrm>
            <a:off x="0" y="0"/>
            <a:ext cx="0" cy="0"/>
          </xdr:xfrm>
          <a:graphic>
            <a:graphicData uri="http://schemas.microsoft.com/office/drawing/2010/slicer">
              <sle:slicer xmlns:sle="http://schemas.microsoft.com/office/drawing/2010/slicer" name="Sales ($)"/>
            </a:graphicData>
          </a:graphic>
        </xdr:graphicFrame>
      </mc:Choice>
      <mc:Fallback xmlns="">
        <xdr:sp macro="" textlink="">
          <xdr:nvSpPr>
            <xdr:cNvPr id="0" name=""/>
            <xdr:cNvSpPr>
              <a:spLocks noTextEdit="1"/>
            </xdr:cNvSpPr>
          </xdr:nvSpPr>
          <xdr:spPr>
            <a:xfrm>
              <a:off x="12260580" y="2362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7</xdr:row>
      <xdr:rowOff>83820</xdr:rowOff>
    </xdr:from>
    <xdr:to>
      <xdr:col>15</xdr:col>
      <xdr:colOff>91440</xdr:colOff>
      <xdr:row>22</xdr:row>
      <xdr:rowOff>83820</xdr:rowOff>
    </xdr:to>
    <xdr:graphicFrame macro="">
      <xdr:nvGraphicFramePr>
        <xdr:cNvPr id="2" name="Chart 1">
          <a:extLst>
            <a:ext uri="{FF2B5EF4-FFF2-40B4-BE49-F238E27FC236}">
              <a16:creationId xmlns:a16="http://schemas.microsoft.com/office/drawing/2014/main" id="{C8583984-EAA0-40B5-E373-533AD8A76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571500</xdr:colOff>
      <xdr:row>7</xdr:row>
      <xdr:rowOff>106680</xdr:rowOff>
    </xdr:from>
    <xdr:to>
      <xdr:col>19</xdr:col>
      <xdr:colOff>457200</xdr:colOff>
      <xdr:row>21</xdr:row>
      <xdr:rowOff>127635</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873D6B3E-37BF-5CF9-B2A7-33317F0B39A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633460" y="1386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137160</xdr:colOff>
      <xdr:row>7</xdr:row>
      <xdr:rowOff>76200</xdr:rowOff>
    </xdr:from>
    <xdr:to>
      <xdr:col>23</xdr:col>
      <xdr:colOff>137160</xdr:colOff>
      <xdr:row>21</xdr:row>
      <xdr:rowOff>97155</xdr:rowOff>
    </xdr:to>
    <mc:AlternateContent xmlns:mc="http://schemas.openxmlformats.org/markup-compatibility/2006" xmlns:a14="http://schemas.microsoft.com/office/drawing/2010/main">
      <mc:Choice Requires="a14">
        <xdr:graphicFrame macro="">
          <xdr:nvGraphicFramePr>
            <xdr:cNvPr id="4" name="Marketing Price ($)">
              <a:extLst>
                <a:ext uri="{FF2B5EF4-FFF2-40B4-BE49-F238E27FC236}">
                  <a16:creationId xmlns:a16="http://schemas.microsoft.com/office/drawing/2014/main" id="{406B55C0-C5B9-07C0-11CD-EAF5DB11A8D9}"/>
                </a:ext>
              </a:extLst>
            </xdr:cNvPr>
            <xdr:cNvGraphicFramePr/>
          </xdr:nvGraphicFramePr>
          <xdr:xfrm>
            <a:off x="0" y="0"/>
            <a:ext cx="0" cy="0"/>
          </xdr:xfrm>
          <a:graphic>
            <a:graphicData uri="http://schemas.microsoft.com/office/drawing/2010/slicer">
              <sle:slicer xmlns:sle="http://schemas.microsoft.com/office/drawing/2010/slicer" name="Marketing Price ($)"/>
            </a:graphicData>
          </a:graphic>
        </xdr:graphicFrame>
      </mc:Choice>
      <mc:Fallback xmlns="">
        <xdr:sp macro="" textlink="">
          <xdr:nvSpPr>
            <xdr:cNvPr id="0" name=""/>
            <xdr:cNvSpPr>
              <a:spLocks noTextEdit="1"/>
            </xdr:cNvSpPr>
          </xdr:nvSpPr>
          <xdr:spPr>
            <a:xfrm>
              <a:off x="10751820" y="1356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60960</xdr:colOff>
      <xdr:row>7</xdr:row>
      <xdr:rowOff>83820</xdr:rowOff>
    </xdr:from>
    <xdr:to>
      <xdr:col>10</xdr:col>
      <xdr:colOff>7620</xdr:colOff>
      <xdr:row>22</xdr:row>
      <xdr:rowOff>83820</xdr:rowOff>
    </xdr:to>
    <xdr:graphicFrame macro="">
      <xdr:nvGraphicFramePr>
        <xdr:cNvPr id="2" name="Chart 1">
          <a:extLst>
            <a:ext uri="{FF2B5EF4-FFF2-40B4-BE49-F238E27FC236}">
              <a16:creationId xmlns:a16="http://schemas.microsoft.com/office/drawing/2014/main" id="{A3D63CDE-B1D9-F363-D825-1D7DD8E64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7</xdr:row>
      <xdr:rowOff>175260</xdr:rowOff>
    </xdr:from>
    <xdr:to>
      <xdr:col>14</xdr:col>
      <xdr:colOff>0</xdr:colOff>
      <xdr:row>22</xdr:row>
      <xdr:rowOff>13335</xdr:rowOff>
    </xdr:to>
    <mc:AlternateContent xmlns:mc="http://schemas.openxmlformats.org/markup-compatibility/2006" xmlns:a14="http://schemas.microsoft.com/office/drawing/2010/main">
      <mc:Choice Requires="a14">
        <xdr:graphicFrame macro="">
          <xdr:nvGraphicFramePr>
            <xdr:cNvPr id="3" name="Sales ($) 1">
              <a:extLst>
                <a:ext uri="{FF2B5EF4-FFF2-40B4-BE49-F238E27FC236}">
                  <a16:creationId xmlns:a16="http://schemas.microsoft.com/office/drawing/2014/main" id="{20BEBF2A-B797-082E-354A-DAB024FF971F}"/>
                </a:ext>
              </a:extLst>
            </xdr:cNvPr>
            <xdr:cNvGraphicFramePr/>
          </xdr:nvGraphicFramePr>
          <xdr:xfrm>
            <a:off x="0" y="0"/>
            <a:ext cx="0" cy="0"/>
          </xdr:xfrm>
          <a:graphic>
            <a:graphicData uri="http://schemas.microsoft.com/office/drawing/2010/slicer">
              <sle:slicer xmlns:sle="http://schemas.microsoft.com/office/drawing/2010/slicer" name="Sales ($) 1"/>
            </a:graphicData>
          </a:graphic>
        </xdr:graphicFrame>
      </mc:Choice>
      <mc:Fallback xmlns="">
        <xdr:sp macro="" textlink="">
          <xdr:nvSpPr>
            <xdr:cNvPr id="0" name=""/>
            <xdr:cNvSpPr>
              <a:spLocks noTextEdit="1"/>
            </xdr:cNvSpPr>
          </xdr:nvSpPr>
          <xdr:spPr>
            <a:xfrm>
              <a:off x="8305800" y="1455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182880</xdr:colOff>
      <xdr:row>7</xdr:row>
      <xdr:rowOff>160020</xdr:rowOff>
    </xdr:from>
    <xdr:to>
      <xdr:col>17</xdr:col>
      <xdr:colOff>182880</xdr:colOff>
      <xdr:row>21</xdr:row>
      <xdr:rowOff>180975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64B5364-37BD-79C1-A5CB-6CE6FE3373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17480" y="1440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sti Raiyani" refreshedDate="46251.523480439813" createdVersion="8" refreshedVersion="8" minRefreshableVersion="3" recordCount="15" xr:uid="{B3E522BE-C199-4872-97C0-D047BE78159A}">
  <cacheSource type="worksheet">
    <worksheetSource ref="C1:D16" sheet="Sheet1"/>
  </cacheSource>
  <cacheFields count="2">
    <cacheField name="Salesperson" numFmtId="0">
      <sharedItems count="6">
        <s v="John Doe"/>
        <s v="Jane Smith"/>
        <s v="Mike Jones"/>
        <s v="Alice Brown"/>
        <s v="Emma Wilson"/>
        <s v="Liam Davies"/>
      </sharedItems>
    </cacheField>
    <cacheField name="Sales ($)" numFmtId="3">
      <sharedItems containsSemiMixedTypes="0" containsString="0" containsNumber="1" containsInteger="1" minValue="8900" maxValue="24100" count="15">
        <n v="12500"/>
        <n v="14200"/>
        <n v="9800"/>
        <n v="18500"/>
        <n v="15100"/>
        <n v="11000"/>
        <n v="13400"/>
        <n v="22000"/>
        <n v="8900"/>
        <n v="16300"/>
        <n v="17200"/>
        <n v="24100"/>
        <n v="10500"/>
        <n v="13800"/>
        <n v="19000"/>
      </sharedItems>
    </cacheField>
  </cacheFields>
  <extLst>
    <ext xmlns:x14="http://schemas.microsoft.com/office/spreadsheetml/2009/9/main" uri="{725AE2AE-9491-48be-B2B4-4EB974FC3084}">
      <x14:pivotCacheDefinition pivotCacheId="21213095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sti Raiyani" refreshedDate="46251.528713194442" createdVersion="8" refreshedVersion="8" minRefreshableVersion="3" recordCount="15" xr:uid="{499EA3E7-31E7-43E6-B61B-EE265165212B}">
  <cacheSource type="worksheet">
    <worksheetSource ref="A1:E16" sheet="Sheet1"/>
  </cacheSource>
  <cacheFields count="7">
    <cacheField name="Date" numFmtId="14">
      <sharedItems containsSemiMixedTypes="0" containsNonDate="0" containsDate="1" containsString="0" minDate="2026-01-15T00:00:00" maxDate="2026-07-20T00:00:00" count="15">
        <d v="2026-01-15T00:00:00"/>
        <d v="2026-01-18T00:00:00"/>
        <d v="2026-02-02T00:00:00"/>
        <d v="2026-02-14T00:00:00"/>
        <d v="2026-03-01T00:00:00"/>
        <d v="2026-03-15T00:00:00"/>
        <d v="2026-04-05T00:00:00"/>
        <d v="2026-04-22T00:00:00"/>
        <d v="2026-05-03T00:00:00"/>
        <d v="2026-05-19T00:00:00"/>
        <d v="2026-06-01T00:00:00"/>
        <d v="2026-06-12T00:00:00"/>
        <d v="2026-06-28T00:00:00"/>
        <d v="2026-07-04T00:00:00"/>
        <d v="2026-07-19T00:00:00"/>
      </sharedItems>
      <fieldGroup par="6"/>
    </cacheField>
    <cacheField name="Region" numFmtId="0">
      <sharedItems count="4">
        <s v="North"/>
        <s v="South"/>
        <s v="East"/>
        <s v="West"/>
      </sharedItems>
    </cacheField>
    <cacheField name="Salesperson" numFmtId="0">
      <sharedItems count="6">
        <s v="John Doe"/>
        <s v="Jane Smith"/>
        <s v="Mike Jones"/>
        <s v="Alice Brown"/>
        <s v="Emma Wilson"/>
        <s v="Liam Davies"/>
      </sharedItems>
    </cacheField>
    <cacheField name="Sales ($)" numFmtId="3">
      <sharedItems containsSemiMixedTypes="0" containsString="0" containsNumber="1" containsInteger="1" minValue="8900" maxValue="24100" count="15">
        <n v="12500"/>
        <n v="14200"/>
        <n v="9800"/>
        <n v="18500"/>
        <n v="15100"/>
        <n v="11000"/>
        <n v="13400"/>
        <n v="22000"/>
        <n v="8900"/>
        <n v="16300"/>
        <n v="17200"/>
        <n v="24100"/>
        <n v="10500"/>
        <n v="13800"/>
        <n v="19000"/>
      </sharedItems>
    </cacheField>
    <cacheField name="Marketing Price ($)" numFmtId="0">
      <sharedItems containsSemiMixedTypes="0" containsString="0" containsNumber="1" containsInteger="1" minValue="850" maxValue="2800" count="15">
        <n v="1200"/>
        <n v="1500"/>
        <n v="850"/>
        <n v="2100"/>
        <n v="1300"/>
        <n v="1100"/>
        <n v="1400"/>
        <n v="2500"/>
        <n v="900"/>
        <n v="1800"/>
        <n v="1650"/>
        <n v="2800"/>
        <n v="1000"/>
        <n v="1250"/>
        <n v="2000"/>
      </sharedItems>
    </cacheField>
    <cacheField name="Days (Date)" numFmtId="0" databaseField="0">
      <fieldGroup base="0">
        <rangePr groupBy="days" startDate="2026-01-15T00:00:00" endDate="2026-07-20T00:00:00"/>
        <groupItems count="368">
          <s v="&lt;1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07-2026"/>
        </groupItems>
      </fieldGroup>
    </cacheField>
    <cacheField name="Months (Date)" numFmtId="0" databaseField="0">
      <fieldGroup base="0">
        <rangePr groupBy="months" startDate="2026-01-15T00:00:00" endDate="2026-07-20T00:00:00"/>
        <groupItems count="14">
          <s v="&lt;15-01-2026"/>
          <s v="Jan"/>
          <s v="Feb"/>
          <s v="Mar"/>
          <s v="Apr"/>
          <s v="May"/>
          <s v="Jun"/>
          <s v="Jul"/>
          <s v="Aug"/>
          <s v="Sep"/>
          <s v="Oct"/>
          <s v="Nov"/>
          <s v="Dec"/>
          <s v="&gt;20-07-2026"/>
        </groupItems>
      </fieldGroup>
    </cacheField>
  </cacheFields>
  <extLst>
    <ext xmlns:x14="http://schemas.microsoft.com/office/spreadsheetml/2009/9/main" uri="{725AE2AE-9491-48be-B2B4-4EB974FC3084}">
      <x14:pivotCacheDefinition pivotCacheId="1775434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r>
  <r>
    <x v="1"/>
    <x v="1"/>
  </r>
  <r>
    <x v="2"/>
    <x v="2"/>
  </r>
  <r>
    <x v="3"/>
    <x v="3"/>
  </r>
  <r>
    <x v="0"/>
    <x v="4"/>
  </r>
  <r>
    <x v="1"/>
    <x v="5"/>
  </r>
  <r>
    <x v="2"/>
    <x v="6"/>
  </r>
  <r>
    <x v="3"/>
    <x v="7"/>
  </r>
  <r>
    <x v="4"/>
    <x v="8"/>
  </r>
  <r>
    <x v="5"/>
    <x v="9"/>
  </r>
  <r>
    <x v="2"/>
    <x v="10"/>
  </r>
  <r>
    <x v="3"/>
    <x v="11"/>
  </r>
  <r>
    <x v="4"/>
    <x v="12"/>
  </r>
  <r>
    <x v="1"/>
    <x v="13"/>
  </r>
  <r>
    <x v="5"/>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r>
  <r>
    <x v="1"/>
    <x v="1"/>
    <x v="1"/>
    <x v="1"/>
    <x v="1"/>
  </r>
  <r>
    <x v="2"/>
    <x v="2"/>
    <x v="2"/>
    <x v="2"/>
    <x v="2"/>
  </r>
  <r>
    <x v="3"/>
    <x v="3"/>
    <x v="3"/>
    <x v="3"/>
    <x v="3"/>
  </r>
  <r>
    <x v="4"/>
    <x v="0"/>
    <x v="0"/>
    <x v="4"/>
    <x v="4"/>
  </r>
  <r>
    <x v="5"/>
    <x v="1"/>
    <x v="1"/>
    <x v="5"/>
    <x v="5"/>
  </r>
  <r>
    <x v="6"/>
    <x v="2"/>
    <x v="2"/>
    <x v="6"/>
    <x v="6"/>
  </r>
  <r>
    <x v="7"/>
    <x v="3"/>
    <x v="3"/>
    <x v="7"/>
    <x v="7"/>
  </r>
  <r>
    <x v="8"/>
    <x v="0"/>
    <x v="4"/>
    <x v="8"/>
    <x v="8"/>
  </r>
  <r>
    <x v="9"/>
    <x v="1"/>
    <x v="5"/>
    <x v="9"/>
    <x v="9"/>
  </r>
  <r>
    <x v="10"/>
    <x v="2"/>
    <x v="2"/>
    <x v="10"/>
    <x v="10"/>
  </r>
  <r>
    <x v="11"/>
    <x v="3"/>
    <x v="3"/>
    <x v="11"/>
    <x v="11"/>
  </r>
  <r>
    <x v="12"/>
    <x v="0"/>
    <x v="4"/>
    <x v="12"/>
    <x v="12"/>
  </r>
  <r>
    <x v="13"/>
    <x v="1"/>
    <x v="1"/>
    <x v="13"/>
    <x v="13"/>
  </r>
  <r>
    <x v="14"/>
    <x v="3"/>
    <x v="5"/>
    <x v="1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BDE1DE-5BB2-49AD-BF1D-E7AD80175C1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10" firstHeaderRow="1" firstDataRow="1" firstDataCol="1"/>
  <pivotFields count="2">
    <pivotField axis="axisRow" showAll="0">
      <items count="7">
        <item x="3"/>
        <item x="4"/>
        <item x="1"/>
        <item x="0"/>
        <item x="5"/>
        <item x="2"/>
        <item t="default"/>
      </items>
    </pivotField>
    <pivotField dataField="1" numFmtId="3" showAll="0">
      <items count="16">
        <item x="8"/>
        <item x="2"/>
        <item x="12"/>
        <item x="5"/>
        <item x="0"/>
        <item x="6"/>
        <item x="13"/>
        <item x="1"/>
        <item x="4"/>
        <item x="9"/>
        <item x="10"/>
        <item x="3"/>
        <item x="14"/>
        <item x="7"/>
        <item x="11"/>
        <item t="default"/>
      </items>
    </pivotField>
  </pivotFields>
  <rowFields count="1">
    <field x="0"/>
  </rowFields>
  <rowItems count="7">
    <i>
      <x/>
    </i>
    <i>
      <x v="1"/>
    </i>
    <i>
      <x v="2"/>
    </i>
    <i>
      <x v="3"/>
    </i>
    <i>
      <x v="4"/>
    </i>
    <i>
      <x v="5"/>
    </i>
    <i t="grand">
      <x/>
    </i>
  </rowItems>
  <colItems count="1">
    <i/>
  </colItems>
  <dataFields count="1">
    <dataField name="Sum of Sales ($)" fld="1" baseField="0" baseItem="0" numFmtId="3"/>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230DCB-A32B-4C01-A7D7-26B82E93C2B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7">
    <pivotField axis="axisRow" numFmtId="14" showAll="0">
      <items count="16">
        <item x="0"/>
        <item x="1"/>
        <item x="2"/>
        <item x="3"/>
        <item x="4"/>
        <item x="5"/>
        <item x="6"/>
        <item x="7"/>
        <item x="8"/>
        <item x="9"/>
        <item x="10"/>
        <item x="11"/>
        <item x="12"/>
        <item x="13"/>
        <item x="14"/>
        <item t="default"/>
      </items>
    </pivotField>
    <pivotField showAll="0"/>
    <pivotField showAll="0"/>
    <pivotField dataField="1" numFmtId="3" showAll="0">
      <items count="16">
        <item x="8"/>
        <item x="2"/>
        <item x="12"/>
        <item x="5"/>
        <item x="0"/>
        <item x="6"/>
        <item x="13"/>
        <item x="1"/>
        <item x="4"/>
        <item x="9"/>
        <item x="10"/>
        <item x="3"/>
        <item x="14"/>
        <item x="7"/>
        <item x="11"/>
        <item t="default"/>
      </items>
    </pivotField>
    <pivotField showAll="0">
      <items count="16">
        <item x="2"/>
        <item x="8"/>
        <item x="12"/>
        <item x="5"/>
        <item x="0"/>
        <item x="13"/>
        <item x="4"/>
        <item x="6"/>
        <item x="1"/>
        <item x="10"/>
        <item x="9"/>
        <item x="14"/>
        <item x="3"/>
        <item x="7"/>
        <item x="1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8">
    <i>
      <x v="1"/>
    </i>
    <i>
      <x v="2"/>
    </i>
    <i>
      <x v="3"/>
    </i>
    <i>
      <x v="4"/>
    </i>
    <i>
      <x v="5"/>
    </i>
    <i>
      <x v="6"/>
    </i>
    <i>
      <x v="7"/>
    </i>
    <i t="grand">
      <x/>
    </i>
  </rowItems>
  <colItems count="1">
    <i/>
  </colItems>
  <dataFields count="1">
    <dataField name="Sum of Sales ($)" fld="3" baseField="0" baseItem="0" numFmtId="3"/>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975EA1-27BD-49FE-A463-6357D4FE686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20" firstHeaderRow="1" firstDataRow="1" firstDataCol="1" rowPageCount="1" colPageCount="1"/>
  <pivotFields count="7">
    <pivotField numFmtId="14" showAll="0">
      <items count="16">
        <item x="0"/>
        <item x="1"/>
        <item x="2"/>
        <item x="3"/>
        <item x="4"/>
        <item x="5"/>
        <item x="6"/>
        <item x="7"/>
        <item x="8"/>
        <item x="9"/>
        <item x="10"/>
        <item x="11"/>
        <item x="12"/>
        <item x="13"/>
        <item x="14"/>
        <item t="default"/>
      </items>
    </pivotField>
    <pivotField axis="axisPage" showAll="0">
      <items count="5">
        <item x="2"/>
        <item x="0"/>
        <item x="1"/>
        <item x="3"/>
        <item t="default"/>
      </items>
    </pivotField>
    <pivotField dataField="1" showAll="0">
      <items count="7">
        <item x="3"/>
        <item x="4"/>
        <item x="1"/>
        <item x="0"/>
        <item x="5"/>
        <item x="2"/>
        <item t="default"/>
      </items>
    </pivotField>
    <pivotField axis="axisRow" numFmtId="3" showAll="0">
      <items count="16">
        <item x="8"/>
        <item x="2"/>
        <item x="12"/>
        <item x="5"/>
        <item x="0"/>
        <item x="6"/>
        <item x="13"/>
        <item x="1"/>
        <item x="4"/>
        <item x="9"/>
        <item x="10"/>
        <item x="3"/>
        <item x="14"/>
        <item x="7"/>
        <item x="1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6">
    <i>
      <x/>
    </i>
    <i>
      <x v="1"/>
    </i>
    <i>
      <x v="2"/>
    </i>
    <i>
      <x v="3"/>
    </i>
    <i>
      <x v="4"/>
    </i>
    <i>
      <x v="5"/>
    </i>
    <i>
      <x v="6"/>
    </i>
    <i>
      <x v="7"/>
    </i>
    <i>
      <x v="8"/>
    </i>
    <i>
      <x v="9"/>
    </i>
    <i>
      <x v="10"/>
    </i>
    <i>
      <x v="11"/>
    </i>
    <i>
      <x v="12"/>
    </i>
    <i>
      <x v="13"/>
    </i>
    <i>
      <x v="14"/>
    </i>
    <i t="grand">
      <x/>
    </i>
  </rowItems>
  <colItems count="1">
    <i/>
  </colItems>
  <pageFields count="1">
    <pageField fld="1" hier="-1"/>
  </pageFields>
  <dataFields count="1">
    <dataField name="Count of Salesperson" fld="2" subtotal="count"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8A84E6F-C5B7-48BE-8E0A-42C8932D38A3}" sourceName="Salesperson">
  <pivotTables>
    <pivotTable tabId="1" name="PivotTable2"/>
  </pivotTables>
  <data>
    <tabular pivotCacheId="2121309544">
      <items count="6">
        <i x="3" s="1"/>
        <i x="4" s="1"/>
        <i x="1" s="1"/>
        <i x="0"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C228564-2A70-4C5E-BCC1-7B42BDDB119A}" sourceName="Sales ($)">
  <pivotTables>
    <pivotTable tabId="1" name="PivotTable2"/>
  </pivotTables>
  <data>
    <tabular pivotCacheId="2121309544">
      <items count="15">
        <i x="8" s="1"/>
        <i x="2" s="1"/>
        <i x="12" s="1"/>
        <i x="5" s="1"/>
        <i x="0" s="1"/>
        <i x="6" s="1"/>
        <i x="13" s="1"/>
        <i x="1" s="1"/>
        <i x="4" s="1"/>
        <i x="9" s="1"/>
        <i x="10" s="1"/>
        <i x="3" s="1"/>
        <i x="14" s="1"/>
        <i x="7"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BC3592D-059E-48CB-9459-78DDDB22A7DA}" sourceName="Date">
  <pivotTables>
    <pivotTable tabId="4" name="PivotTable4"/>
  </pivotTables>
  <data>
    <tabular pivotCacheId="1775434674">
      <items count="15">
        <i x="0" s="1"/>
        <i x="1" s="1"/>
        <i x="2" s="1"/>
        <i x="3" s="1"/>
        <i x="4" s="1"/>
        <i x="5" s="1"/>
        <i x="6" s="1"/>
        <i x="7" s="1"/>
        <i x="8" s="1"/>
        <i x="9" s="1"/>
        <i x="10" s="1"/>
        <i x="11" s="1"/>
        <i x="12" s="1"/>
        <i x="13"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Price" xr10:uid="{1406E0F6-27BD-407C-84CF-948C87D21881}" sourceName="Marketing Price ($)">
  <pivotTables>
    <pivotTable tabId="4" name="PivotTable4"/>
  </pivotTables>
  <data>
    <tabular pivotCacheId="1775434674">
      <items count="15">
        <i x="2" s="1"/>
        <i x="8" s="1"/>
        <i x="12" s="1"/>
        <i x="5" s="1"/>
        <i x="0" s="1"/>
        <i x="13" s="1"/>
        <i x="4" s="1"/>
        <i x="6" s="1"/>
        <i x="1" s="1"/>
        <i x="10" s="1"/>
        <i x="9" s="1"/>
        <i x="14" s="1"/>
        <i x="3" s="1"/>
        <i x="7"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1080A080-6426-4EC2-B6C3-59511473BD6F}" sourceName="Sales ($)">
  <pivotTables>
    <pivotTable tabId="5" name="PivotTable5"/>
  </pivotTables>
  <data>
    <tabular pivotCacheId="1775434674">
      <items count="15">
        <i x="8" s="1"/>
        <i x="2" s="1"/>
        <i x="12" s="1"/>
        <i x="5" s="1"/>
        <i x="0" s="1"/>
        <i x="6" s="1"/>
        <i x="13" s="1"/>
        <i x="1" s="1"/>
        <i x="4" s="1"/>
        <i x="9" s="1"/>
        <i x="10" s="1"/>
        <i x="3" s="1"/>
        <i x="14" s="1"/>
        <i x="7"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E27024-D33F-4E10-B62B-CC15ECC70B0E}" sourceName="Region">
  <pivotTables>
    <pivotTable tabId="5" name="PivotTable5"/>
  </pivotTables>
  <data>
    <tabular pivotCacheId="177543467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F6AB35DB-BF9D-4A68-A804-EB2B88A3FE77}" cache="Slicer_Salesperson" caption="Salesperson" rowHeight="247650"/>
  <slicer name="Sales ($)" xr10:uid="{C97E697E-FCF0-44E9-8342-A599E41102E6}" cache="Slicer_Sales" caption="Sales ($)"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CF53BDD-948C-4A8C-8139-95A218966F95}" cache="Slicer_Date" caption="Date" rowHeight="247650"/>
  <slicer name="Marketing Price ($)" xr10:uid="{F83D5A52-C2C7-4A52-AD25-88A2E540A347}" cache="Slicer_Marketing_Price" caption="Marketing Price ($)"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 1" xr10:uid="{BB35461E-CAFF-4AAE-8AD7-BEB525D829BC}" cache="Slicer_Sales1" caption="Sales ($)" rowHeight="247650"/>
  <slicer name="Region" xr10:uid="{2C8ADFAA-B229-460C-A740-5DF1FFC19347}"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D3379-BD0E-4A64-AC8A-1724FCB4EFFE}">
  <sheetPr codeName="Sheet6"/>
  <dimension ref="A1:I16"/>
  <sheetViews>
    <sheetView workbookViewId="0"/>
  </sheetViews>
  <sheetFormatPr defaultRowHeight="14.5" x14ac:dyDescent="0.35"/>
  <cols>
    <col min="1" max="1" width="14.453125" customWidth="1"/>
    <col min="2" max="2" width="13.81640625" customWidth="1"/>
    <col min="3" max="3" width="18.08984375" customWidth="1"/>
    <col min="4" max="4" width="13.453125" customWidth="1"/>
    <col min="5" max="5" width="14.90625" customWidth="1"/>
    <col min="8" max="8" width="12.453125" bestFit="1" customWidth="1"/>
    <col min="9" max="9" width="14.36328125" bestFit="1" customWidth="1"/>
  </cols>
  <sheetData>
    <row r="1" spans="1:9" ht="28" x14ac:dyDescent="0.35">
      <c r="A1" s="2" t="s">
        <v>0</v>
      </c>
      <c r="B1" s="2" t="s">
        <v>1</v>
      </c>
      <c r="C1" s="2" t="s">
        <v>2</v>
      </c>
      <c r="D1" s="2" t="s">
        <v>3</v>
      </c>
      <c r="E1" s="2" t="s">
        <v>4</v>
      </c>
    </row>
    <row r="2" spans="1:9" x14ac:dyDescent="0.35">
      <c r="A2" s="9">
        <v>46037</v>
      </c>
      <c r="B2" s="10" t="s">
        <v>5</v>
      </c>
      <c r="C2" s="10" t="s">
        <v>6</v>
      </c>
      <c r="D2" s="11">
        <v>12500</v>
      </c>
      <c r="E2" s="11">
        <v>1200</v>
      </c>
    </row>
    <row r="3" spans="1:9" x14ac:dyDescent="0.35">
      <c r="A3" s="9">
        <v>46040</v>
      </c>
      <c r="B3" s="10" t="s">
        <v>7</v>
      </c>
      <c r="C3" s="10" t="s">
        <v>8</v>
      </c>
      <c r="D3" s="11">
        <v>14200</v>
      </c>
      <c r="E3" s="11">
        <v>1500</v>
      </c>
      <c r="H3" s="3" t="s">
        <v>15</v>
      </c>
      <c r="I3" t="s">
        <v>17</v>
      </c>
    </row>
    <row r="4" spans="1:9" x14ac:dyDescent="0.35">
      <c r="A4" s="9">
        <v>46055</v>
      </c>
      <c r="B4" s="10" t="s">
        <v>9</v>
      </c>
      <c r="C4" s="10" t="s">
        <v>10</v>
      </c>
      <c r="D4" s="11">
        <v>9800</v>
      </c>
      <c r="E4" s="10">
        <v>850</v>
      </c>
      <c r="H4" s="4" t="s">
        <v>12</v>
      </c>
      <c r="I4" s="1">
        <v>64600</v>
      </c>
    </row>
    <row r="5" spans="1:9" x14ac:dyDescent="0.35">
      <c r="A5" s="9">
        <v>46067</v>
      </c>
      <c r="B5" s="10" t="s">
        <v>11</v>
      </c>
      <c r="C5" s="10" t="s">
        <v>12</v>
      </c>
      <c r="D5" s="11">
        <v>18500</v>
      </c>
      <c r="E5" s="11">
        <v>2100</v>
      </c>
      <c r="H5" s="4" t="s">
        <v>13</v>
      </c>
      <c r="I5" s="1">
        <v>19400</v>
      </c>
    </row>
    <row r="6" spans="1:9" x14ac:dyDescent="0.35">
      <c r="A6" s="9">
        <v>46082</v>
      </c>
      <c r="B6" s="10" t="s">
        <v>5</v>
      </c>
      <c r="C6" s="10" t="s">
        <v>6</v>
      </c>
      <c r="D6" s="11">
        <v>15100</v>
      </c>
      <c r="E6" s="11">
        <v>1300</v>
      </c>
      <c r="H6" s="4" t="s">
        <v>8</v>
      </c>
      <c r="I6" s="1">
        <v>39000</v>
      </c>
    </row>
    <row r="7" spans="1:9" x14ac:dyDescent="0.35">
      <c r="A7" s="9">
        <v>46096</v>
      </c>
      <c r="B7" s="10" t="s">
        <v>7</v>
      </c>
      <c r="C7" s="10" t="s">
        <v>8</v>
      </c>
      <c r="D7" s="11">
        <v>11000</v>
      </c>
      <c r="E7" s="11">
        <v>1100</v>
      </c>
      <c r="H7" s="4" t="s">
        <v>6</v>
      </c>
      <c r="I7" s="1">
        <v>27600</v>
      </c>
    </row>
    <row r="8" spans="1:9" x14ac:dyDescent="0.35">
      <c r="A8" s="9">
        <v>46117</v>
      </c>
      <c r="B8" s="10" t="s">
        <v>9</v>
      </c>
      <c r="C8" s="10" t="s">
        <v>10</v>
      </c>
      <c r="D8" s="11">
        <v>13400</v>
      </c>
      <c r="E8" s="11">
        <v>1400</v>
      </c>
      <c r="H8" s="4" t="s">
        <v>14</v>
      </c>
      <c r="I8" s="1">
        <v>35300</v>
      </c>
    </row>
    <row r="9" spans="1:9" x14ac:dyDescent="0.35">
      <c r="A9" s="9">
        <v>46134</v>
      </c>
      <c r="B9" s="10" t="s">
        <v>11</v>
      </c>
      <c r="C9" s="10" t="s">
        <v>12</v>
      </c>
      <c r="D9" s="11">
        <v>22000</v>
      </c>
      <c r="E9" s="11">
        <v>2500</v>
      </c>
      <c r="H9" s="4" t="s">
        <v>10</v>
      </c>
      <c r="I9" s="1">
        <v>40400</v>
      </c>
    </row>
    <row r="10" spans="1:9" x14ac:dyDescent="0.35">
      <c r="A10" s="9">
        <v>46145</v>
      </c>
      <c r="B10" s="10" t="s">
        <v>5</v>
      </c>
      <c r="C10" s="10" t="s">
        <v>13</v>
      </c>
      <c r="D10" s="11">
        <v>8900</v>
      </c>
      <c r="E10" s="10">
        <v>900</v>
      </c>
      <c r="H10" s="4" t="s">
        <v>16</v>
      </c>
      <c r="I10" s="1">
        <v>226300</v>
      </c>
    </row>
    <row r="11" spans="1:9" x14ac:dyDescent="0.35">
      <c r="A11" s="9">
        <v>46161</v>
      </c>
      <c r="B11" s="10" t="s">
        <v>7</v>
      </c>
      <c r="C11" s="10" t="s">
        <v>14</v>
      </c>
      <c r="D11" s="11">
        <v>16300</v>
      </c>
      <c r="E11" s="11">
        <v>1800</v>
      </c>
    </row>
    <row r="12" spans="1:9" x14ac:dyDescent="0.35">
      <c r="A12" s="9">
        <v>46174</v>
      </c>
      <c r="B12" s="10" t="s">
        <v>9</v>
      </c>
      <c r="C12" s="10" t="s">
        <v>10</v>
      </c>
      <c r="D12" s="11">
        <v>17200</v>
      </c>
      <c r="E12" s="11">
        <v>1650</v>
      </c>
    </row>
    <row r="13" spans="1:9" x14ac:dyDescent="0.35">
      <c r="A13" s="9">
        <v>46185</v>
      </c>
      <c r="B13" s="10" t="s">
        <v>11</v>
      </c>
      <c r="C13" s="10" t="s">
        <v>12</v>
      </c>
      <c r="D13" s="11">
        <v>24100</v>
      </c>
      <c r="E13" s="11">
        <v>2800</v>
      </c>
    </row>
    <row r="14" spans="1:9" x14ac:dyDescent="0.35">
      <c r="A14" s="9">
        <v>46201</v>
      </c>
      <c r="B14" s="10" t="s">
        <v>5</v>
      </c>
      <c r="C14" s="10" t="s">
        <v>13</v>
      </c>
      <c r="D14" s="11">
        <v>10500</v>
      </c>
      <c r="E14" s="11">
        <v>1000</v>
      </c>
    </row>
    <row r="15" spans="1:9" x14ac:dyDescent="0.35">
      <c r="A15" s="9">
        <v>46207</v>
      </c>
      <c r="B15" s="10" t="s">
        <v>7</v>
      </c>
      <c r="C15" s="10" t="s">
        <v>8</v>
      </c>
      <c r="D15" s="11">
        <v>13800</v>
      </c>
      <c r="E15" s="11">
        <v>1250</v>
      </c>
    </row>
    <row r="16" spans="1:9" x14ac:dyDescent="0.35">
      <c r="A16" s="9">
        <v>46222</v>
      </c>
      <c r="B16" s="10" t="s">
        <v>11</v>
      </c>
      <c r="C16" s="10" t="s">
        <v>14</v>
      </c>
      <c r="D16" s="11">
        <v>19000</v>
      </c>
      <c r="E16" s="11">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E6C7-E0D3-4CC7-BB72-C807ADA689B7}">
  <sheetPr codeName="Sheet1"/>
  <dimension ref="A3:B11"/>
  <sheetViews>
    <sheetView workbookViewId="0"/>
  </sheetViews>
  <sheetFormatPr defaultRowHeight="14.5" x14ac:dyDescent="0.35"/>
  <cols>
    <col min="1" max="1" width="12.453125" bestFit="1" customWidth="1"/>
    <col min="2" max="2" width="14.36328125" bestFit="1" customWidth="1"/>
    <col min="3" max="3" width="5.54296875" bestFit="1" customWidth="1"/>
    <col min="4" max="16" width="6.54296875" bestFit="1" customWidth="1"/>
    <col min="17" max="17" width="10.54296875" bestFit="1" customWidth="1"/>
  </cols>
  <sheetData>
    <row r="3" spans="1:2" x14ac:dyDescent="0.35">
      <c r="A3" s="3" t="s">
        <v>15</v>
      </c>
      <c r="B3" t="s">
        <v>17</v>
      </c>
    </row>
    <row r="4" spans="1:2" x14ac:dyDescent="0.35">
      <c r="A4" s="4" t="s">
        <v>19</v>
      </c>
      <c r="B4" s="1">
        <v>26700</v>
      </c>
    </row>
    <row r="5" spans="1:2" x14ac:dyDescent="0.35">
      <c r="A5" s="4" t="s">
        <v>20</v>
      </c>
      <c r="B5" s="1">
        <v>28300</v>
      </c>
    </row>
    <row r="6" spans="1:2" x14ac:dyDescent="0.35">
      <c r="A6" s="4" t="s">
        <v>21</v>
      </c>
      <c r="B6" s="1">
        <v>26100</v>
      </c>
    </row>
    <row r="7" spans="1:2" x14ac:dyDescent="0.35">
      <c r="A7" s="4" t="s">
        <v>22</v>
      </c>
      <c r="B7" s="1">
        <v>35400</v>
      </c>
    </row>
    <row r="8" spans="1:2" x14ac:dyDescent="0.35">
      <c r="A8" s="4" t="s">
        <v>23</v>
      </c>
      <c r="B8" s="1">
        <v>25200</v>
      </c>
    </row>
    <row r="9" spans="1:2" x14ac:dyDescent="0.35">
      <c r="A9" s="4" t="s">
        <v>24</v>
      </c>
      <c r="B9" s="1">
        <v>51800</v>
      </c>
    </row>
    <row r="10" spans="1:2" x14ac:dyDescent="0.35">
      <c r="A10" s="4" t="s">
        <v>25</v>
      </c>
      <c r="B10" s="1">
        <v>32800</v>
      </c>
    </row>
    <row r="11" spans="1:2" x14ac:dyDescent="0.35">
      <c r="A11" s="4" t="s">
        <v>16</v>
      </c>
      <c r="B11" s="1">
        <v>226300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05E04-E1D8-4F71-BA79-C3E9A9AB7CA6}">
  <sheetPr codeName="Sheet2"/>
  <dimension ref="A2:B20"/>
  <sheetViews>
    <sheetView workbookViewId="0"/>
  </sheetViews>
  <sheetFormatPr defaultRowHeight="14.5" x14ac:dyDescent="0.35"/>
  <cols>
    <col min="1" max="1" width="12.453125" bestFit="1" customWidth="1"/>
    <col min="2" max="2" width="18.54296875" bestFit="1" customWidth="1"/>
    <col min="3" max="3" width="13.81640625" bestFit="1" customWidth="1"/>
    <col min="4" max="4" width="10" bestFit="1" customWidth="1"/>
    <col min="5" max="5" width="8.1796875" bestFit="1" customWidth="1"/>
    <col min="6" max="6" width="11" bestFit="1" customWidth="1"/>
    <col min="7" max="7" width="9.90625" bestFit="1" customWidth="1"/>
    <col min="8" max="8" width="10.54296875" bestFit="1" customWidth="1"/>
  </cols>
  <sheetData>
    <row r="2" spans="1:2" x14ac:dyDescent="0.35">
      <c r="A2" s="3" t="s">
        <v>1</v>
      </c>
      <c r="B2" t="s">
        <v>18</v>
      </c>
    </row>
    <row r="4" spans="1:2" x14ac:dyDescent="0.35">
      <c r="A4" s="3" t="s">
        <v>15</v>
      </c>
      <c r="B4" t="s">
        <v>26</v>
      </c>
    </row>
    <row r="5" spans="1:2" x14ac:dyDescent="0.35">
      <c r="A5" s="5">
        <v>8900</v>
      </c>
      <c r="B5">
        <v>1</v>
      </c>
    </row>
    <row r="6" spans="1:2" x14ac:dyDescent="0.35">
      <c r="A6" s="5">
        <v>9800</v>
      </c>
      <c r="B6">
        <v>1</v>
      </c>
    </row>
    <row r="7" spans="1:2" x14ac:dyDescent="0.35">
      <c r="A7" s="5">
        <v>10500</v>
      </c>
      <c r="B7">
        <v>1</v>
      </c>
    </row>
    <row r="8" spans="1:2" x14ac:dyDescent="0.35">
      <c r="A8" s="5">
        <v>11000</v>
      </c>
      <c r="B8">
        <v>1</v>
      </c>
    </row>
    <row r="9" spans="1:2" x14ac:dyDescent="0.35">
      <c r="A9" s="5">
        <v>12500</v>
      </c>
      <c r="B9">
        <v>1</v>
      </c>
    </row>
    <row r="10" spans="1:2" x14ac:dyDescent="0.35">
      <c r="A10" s="5">
        <v>13400</v>
      </c>
      <c r="B10">
        <v>1</v>
      </c>
    </row>
    <row r="11" spans="1:2" x14ac:dyDescent="0.35">
      <c r="A11" s="5">
        <v>13800</v>
      </c>
      <c r="B11">
        <v>1</v>
      </c>
    </row>
    <row r="12" spans="1:2" x14ac:dyDescent="0.35">
      <c r="A12" s="5">
        <v>14200</v>
      </c>
      <c r="B12">
        <v>1</v>
      </c>
    </row>
    <row r="13" spans="1:2" x14ac:dyDescent="0.35">
      <c r="A13" s="5">
        <v>15100</v>
      </c>
      <c r="B13">
        <v>1</v>
      </c>
    </row>
    <row r="14" spans="1:2" x14ac:dyDescent="0.35">
      <c r="A14" s="5">
        <v>16300</v>
      </c>
      <c r="B14">
        <v>1</v>
      </c>
    </row>
    <row r="15" spans="1:2" x14ac:dyDescent="0.35">
      <c r="A15" s="5">
        <v>17200</v>
      </c>
      <c r="B15">
        <v>1</v>
      </c>
    </row>
    <row r="16" spans="1:2" x14ac:dyDescent="0.35">
      <c r="A16" s="5">
        <v>18500</v>
      </c>
      <c r="B16">
        <v>1</v>
      </c>
    </row>
    <row r="17" spans="1:2" x14ac:dyDescent="0.35">
      <c r="A17" s="5">
        <v>19000</v>
      </c>
      <c r="B17">
        <v>1</v>
      </c>
    </row>
    <row r="18" spans="1:2" x14ac:dyDescent="0.35">
      <c r="A18" s="5">
        <v>22000</v>
      </c>
      <c r="B18">
        <v>1</v>
      </c>
    </row>
    <row r="19" spans="1:2" x14ac:dyDescent="0.35">
      <c r="A19" s="5">
        <v>24100</v>
      </c>
      <c r="B19">
        <v>1</v>
      </c>
    </row>
    <row r="20" spans="1:2" x14ac:dyDescent="0.35">
      <c r="A20" s="5" t="s">
        <v>16</v>
      </c>
      <c r="B20">
        <v>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4F504-1315-43E5-A91C-C7035959F503}">
  <dimension ref="A1:G14"/>
  <sheetViews>
    <sheetView workbookViewId="0"/>
  </sheetViews>
  <sheetFormatPr defaultRowHeight="14.5" x14ac:dyDescent="0.35"/>
  <cols>
    <col min="1" max="1" width="12.1796875" customWidth="1"/>
    <col min="2" max="3" width="12.6328125" customWidth="1"/>
    <col min="4" max="4" width="18.453125" customWidth="1"/>
    <col min="5" max="5" width="17.1796875" customWidth="1"/>
    <col min="6" max="6" width="16.1796875" customWidth="1"/>
    <col min="7" max="7" width="16.453125" customWidth="1"/>
  </cols>
  <sheetData>
    <row r="1" spans="1:7" ht="21" x14ac:dyDescent="0.5">
      <c r="A1" s="21" t="s">
        <v>138</v>
      </c>
      <c r="B1" s="22">
        <v>8</v>
      </c>
      <c r="C1" s="8"/>
      <c r="D1" s="8"/>
      <c r="E1" s="8"/>
      <c r="F1" s="8"/>
      <c r="G1" s="8"/>
    </row>
    <row r="2" spans="1:7" ht="21" x14ac:dyDescent="0.5">
      <c r="A2" s="21" t="s">
        <v>139</v>
      </c>
      <c r="B2" s="22">
        <v>2026</v>
      </c>
      <c r="C2" s="8"/>
      <c r="D2" s="8"/>
      <c r="E2" s="8"/>
      <c r="F2" s="8"/>
      <c r="G2" s="8"/>
    </row>
    <row r="3" spans="1:7" ht="21" x14ac:dyDescent="0.5">
      <c r="A3" s="8"/>
      <c r="B3" s="8"/>
      <c r="C3" s="8"/>
      <c r="D3" s="8"/>
      <c r="E3" s="8"/>
      <c r="F3" s="8"/>
      <c r="G3" s="8"/>
    </row>
    <row r="4" spans="1:7" ht="21" x14ac:dyDescent="0.5">
      <c r="A4" s="8"/>
      <c r="B4" s="8"/>
      <c r="C4" s="8"/>
      <c r="D4" s="8"/>
      <c r="E4" s="8"/>
      <c r="F4" s="8"/>
      <c r="G4" s="8"/>
    </row>
    <row r="5" spans="1:7" ht="21" x14ac:dyDescent="0.5">
      <c r="A5" s="8"/>
      <c r="B5" s="8"/>
      <c r="C5" s="8"/>
      <c r="D5" s="8"/>
      <c r="E5" s="8"/>
      <c r="F5" s="8"/>
      <c r="G5" s="8"/>
    </row>
    <row r="6" spans="1:7" ht="21" x14ac:dyDescent="0.5">
      <c r="A6" s="18" t="s">
        <v>140</v>
      </c>
      <c r="B6" s="19" t="s">
        <v>141</v>
      </c>
      <c r="C6" s="19" t="s">
        <v>142</v>
      </c>
      <c r="D6" s="19" t="s">
        <v>143</v>
      </c>
      <c r="E6" s="19" t="s">
        <v>144</v>
      </c>
      <c r="F6" s="19" t="s">
        <v>145</v>
      </c>
      <c r="G6" s="20" t="s">
        <v>146</v>
      </c>
    </row>
    <row r="7" spans="1:7" ht="21" x14ac:dyDescent="0.5">
      <c r="A7" s="12">
        <f>DATE(B2,B1,1)-WEEKDAY(DATE(B2,B1,1),1)+1</f>
        <v>46229</v>
      </c>
      <c r="B7" s="13">
        <f>A7+1</f>
        <v>46230</v>
      </c>
      <c r="C7" s="13">
        <f t="shared" ref="C7:G7" si="0">B7+1</f>
        <v>46231</v>
      </c>
      <c r="D7" s="13">
        <f t="shared" si="0"/>
        <v>46232</v>
      </c>
      <c r="E7" s="13">
        <f t="shared" si="0"/>
        <v>46233</v>
      </c>
      <c r="F7" s="13">
        <f t="shared" si="0"/>
        <v>46234</v>
      </c>
      <c r="G7" s="14">
        <f t="shared" si="0"/>
        <v>46235</v>
      </c>
    </row>
    <row r="8" spans="1:7" ht="21" x14ac:dyDescent="0.5">
      <c r="A8" s="12">
        <f>A7+7</f>
        <v>46236</v>
      </c>
      <c r="B8" s="13">
        <f t="shared" ref="B8:G8" si="1">B7+7</f>
        <v>46237</v>
      </c>
      <c r="C8" s="13">
        <f t="shared" si="1"/>
        <v>46238</v>
      </c>
      <c r="D8" s="13">
        <f t="shared" si="1"/>
        <v>46239</v>
      </c>
      <c r="E8" s="13">
        <f t="shared" si="1"/>
        <v>46240</v>
      </c>
      <c r="F8" s="13">
        <f t="shared" si="1"/>
        <v>46241</v>
      </c>
      <c r="G8" s="14">
        <f t="shared" si="1"/>
        <v>46242</v>
      </c>
    </row>
    <row r="9" spans="1:7" ht="21" x14ac:dyDescent="0.5">
      <c r="A9" s="12">
        <f t="shared" ref="A9:A12" si="2">A8+7</f>
        <v>46243</v>
      </c>
      <c r="B9" s="13">
        <f t="shared" ref="B9:B12" si="3">B8+7</f>
        <v>46244</v>
      </c>
      <c r="C9" s="13">
        <f t="shared" ref="C9:C12" si="4">C8+7</f>
        <v>46245</v>
      </c>
      <c r="D9" s="13">
        <f t="shared" ref="D9:D12" si="5">D8+7</f>
        <v>46246</v>
      </c>
      <c r="E9" s="13">
        <f t="shared" ref="E9:E12" si="6">E8+7</f>
        <v>46247</v>
      </c>
      <c r="F9" s="13">
        <f t="shared" ref="F9:F12" si="7">F8+7</f>
        <v>46248</v>
      </c>
      <c r="G9" s="14">
        <f t="shared" ref="G9:G12" si="8">G8+7</f>
        <v>46249</v>
      </c>
    </row>
    <row r="10" spans="1:7" ht="21" x14ac:dyDescent="0.5">
      <c r="A10" s="12">
        <f t="shared" si="2"/>
        <v>46250</v>
      </c>
      <c r="B10" s="13">
        <f t="shared" si="3"/>
        <v>46251</v>
      </c>
      <c r="C10" s="13">
        <f t="shared" si="4"/>
        <v>46252</v>
      </c>
      <c r="D10" s="13">
        <f t="shared" si="5"/>
        <v>46253</v>
      </c>
      <c r="E10" s="13">
        <f t="shared" si="6"/>
        <v>46254</v>
      </c>
      <c r="F10" s="13">
        <f t="shared" si="7"/>
        <v>46255</v>
      </c>
      <c r="G10" s="14">
        <f t="shared" si="8"/>
        <v>46256</v>
      </c>
    </row>
    <row r="11" spans="1:7" ht="21" x14ac:dyDescent="0.5">
      <c r="A11" s="12">
        <f t="shared" si="2"/>
        <v>46257</v>
      </c>
      <c r="B11" s="13">
        <f t="shared" si="3"/>
        <v>46258</v>
      </c>
      <c r="C11" s="13">
        <f t="shared" si="4"/>
        <v>46259</v>
      </c>
      <c r="D11" s="13">
        <f t="shared" si="5"/>
        <v>46260</v>
      </c>
      <c r="E11" s="13">
        <f t="shared" si="6"/>
        <v>46261</v>
      </c>
      <c r="F11" s="13">
        <f t="shared" si="7"/>
        <v>46262</v>
      </c>
      <c r="G11" s="14">
        <f t="shared" si="8"/>
        <v>46263</v>
      </c>
    </row>
    <row r="12" spans="1:7" ht="21" x14ac:dyDescent="0.5">
      <c r="A12" s="15">
        <f t="shared" si="2"/>
        <v>46264</v>
      </c>
      <c r="B12" s="16">
        <f t="shared" si="3"/>
        <v>46265</v>
      </c>
      <c r="C12" s="16">
        <f t="shared" si="4"/>
        <v>46266</v>
      </c>
      <c r="D12" s="16">
        <f t="shared" si="5"/>
        <v>46267</v>
      </c>
      <c r="E12" s="16">
        <f t="shared" si="6"/>
        <v>46268</v>
      </c>
      <c r="F12" s="16">
        <f t="shared" si="7"/>
        <v>46269</v>
      </c>
      <c r="G12" s="17">
        <f t="shared" si="8"/>
        <v>46270</v>
      </c>
    </row>
    <row r="13" spans="1:7" x14ac:dyDescent="0.35">
      <c r="A13" s="7"/>
      <c r="B13" s="7"/>
      <c r="C13" s="7"/>
      <c r="D13" s="7"/>
      <c r="E13" s="7"/>
      <c r="F13" s="7"/>
      <c r="G13" s="7"/>
    </row>
    <row r="14" spans="1:7" x14ac:dyDescent="0.35">
      <c r="A14" s="7"/>
      <c r="B14" s="7"/>
      <c r="C14" s="7"/>
      <c r="D14" s="7"/>
      <c r="E14" s="7"/>
      <c r="F14" s="7"/>
      <c r="G14"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95E41-EEEB-4036-8570-7796D05D2056}">
  <sheetPr codeName="Sheet3"/>
  <dimension ref="A1:J21"/>
  <sheetViews>
    <sheetView workbookViewId="0"/>
  </sheetViews>
  <sheetFormatPr defaultRowHeight="14.5" x14ac:dyDescent="0.35"/>
  <cols>
    <col min="1" max="1" width="17.453125" customWidth="1"/>
    <col min="5" max="5" width="11.54296875" customWidth="1"/>
    <col min="6" max="6" width="12.54296875" customWidth="1"/>
    <col min="7" max="7" width="11.54296875" customWidth="1"/>
    <col min="8" max="8" width="11.7265625" customWidth="1"/>
    <col min="9" max="9" width="13.1796875" customWidth="1"/>
  </cols>
  <sheetData>
    <row r="1" spans="1:10" ht="64" x14ac:dyDescent="0.35">
      <c r="A1" s="6" t="s">
        <v>27</v>
      </c>
      <c r="B1" s="6" t="s">
        <v>28</v>
      </c>
      <c r="C1" s="6" t="s">
        <v>29</v>
      </c>
      <c r="D1" s="6" t="s">
        <v>30</v>
      </c>
      <c r="E1" s="6" t="s">
        <v>31</v>
      </c>
      <c r="F1" s="6" t="s">
        <v>32</v>
      </c>
      <c r="G1" s="6" t="s">
        <v>33</v>
      </c>
      <c r="H1" s="6" t="s">
        <v>34</v>
      </c>
      <c r="I1" s="6" t="s">
        <v>35</v>
      </c>
      <c r="J1" s="6" t="s">
        <v>36</v>
      </c>
    </row>
    <row r="2" spans="1:10" ht="16" x14ac:dyDescent="0.35">
      <c r="A2" s="6" t="s">
        <v>37</v>
      </c>
      <c r="B2" s="23" t="s">
        <v>38</v>
      </c>
      <c r="C2" s="23" t="s">
        <v>39</v>
      </c>
      <c r="D2" s="23">
        <v>20</v>
      </c>
      <c r="E2" s="23">
        <v>100</v>
      </c>
      <c r="F2" s="23">
        <v>99</v>
      </c>
      <c r="G2" s="23">
        <v>97</v>
      </c>
      <c r="H2" s="23">
        <v>97</v>
      </c>
      <c r="I2" s="23">
        <v>98</v>
      </c>
      <c r="J2" s="24">
        <f t="shared" ref="J2:J16" si="0">SUM(D2,I2)</f>
        <v>118</v>
      </c>
    </row>
    <row r="3" spans="1:10" ht="16" x14ac:dyDescent="0.35">
      <c r="A3" s="6" t="s">
        <v>40</v>
      </c>
      <c r="B3" s="23" t="s">
        <v>41</v>
      </c>
      <c r="C3" s="23" t="s">
        <v>42</v>
      </c>
      <c r="D3" s="23">
        <v>21</v>
      </c>
      <c r="E3" s="23">
        <v>94</v>
      </c>
      <c r="F3" s="23">
        <v>93</v>
      </c>
      <c r="G3" s="23">
        <v>96</v>
      </c>
      <c r="H3" s="23">
        <v>92</v>
      </c>
      <c r="I3" s="23">
        <v>97</v>
      </c>
      <c r="J3" s="24">
        <f t="shared" si="0"/>
        <v>118</v>
      </c>
    </row>
    <row r="4" spans="1:10" ht="16" x14ac:dyDescent="0.35">
      <c r="A4" s="6" t="s">
        <v>43</v>
      </c>
      <c r="B4" s="23" t="s">
        <v>44</v>
      </c>
      <c r="C4" s="23" t="s">
        <v>45</v>
      </c>
      <c r="D4" s="23">
        <v>19</v>
      </c>
      <c r="E4" s="23">
        <v>95</v>
      </c>
      <c r="F4" s="23">
        <v>96</v>
      </c>
      <c r="G4" s="23">
        <v>91</v>
      </c>
      <c r="H4" s="23">
        <v>93</v>
      </c>
      <c r="I4" s="23">
        <v>98</v>
      </c>
      <c r="J4" s="24">
        <f t="shared" si="0"/>
        <v>117</v>
      </c>
    </row>
    <row r="5" spans="1:10" ht="16" x14ac:dyDescent="0.35">
      <c r="A5" s="6" t="s">
        <v>46</v>
      </c>
      <c r="B5" s="23" t="s">
        <v>47</v>
      </c>
      <c r="C5" s="23" t="s">
        <v>48</v>
      </c>
      <c r="D5" s="23">
        <v>20</v>
      </c>
      <c r="E5" s="23">
        <v>92</v>
      </c>
      <c r="F5" s="23">
        <v>85</v>
      </c>
      <c r="G5" s="23">
        <v>89</v>
      </c>
      <c r="H5" s="23">
        <v>81</v>
      </c>
      <c r="I5" s="23">
        <v>95</v>
      </c>
      <c r="J5" s="24">
        <f t="shared" si="0"/>
        <v>115</v>
      </c>
    </row>
    <row r="6" spans="1:10" ht="15" customHeight="1" x14ac:dyDescent="0.35">
      <c r="A6" s="6" t="s">
        <v>49</v>
      </c>
      <c r="B6" s="23" t="s">
        <v>50</v>
      </c>
      <c r="C6" s="23" t="s">
        <v>51</v>
      </c>
      <c r="D6" s="23">
        <v>19</v>
      </c>
      <c r="E6" s="23">
        <v>89</v>
      </c>
      <c r="F6" s="23">
        <v>91</v>
      </c>
      <c r="G6" s="23">
        <v>88</v>
      </c>
      <c r="H6" s="23">
        <v>90</v>
      </c>
      <c r="I6" s="23">
        <v>94</v>
      </c>
      <c r="J6" s="24">
        <f t="shared" si="0"/>
        <v>113</v>
      </c>
    </row>
    <row r="7" spans="1:10" ht="16" x14ac:dyDescent="0.35">
      <c r="A7" s="6" t="s">
        <v>52</v>
      </c>
      <c r="B7" s="23" t="s">
        <v>53</v>
      </c>
      <c r="C7" s="23" t="s">
        <v>54</v>
      </c>
      <c r="D7" s="23">
        <v>21</v>
      </c>
      <c r="E7" s="23">
        <v>28</v>
      </c>
      <c r="F7" s="23">
        <v>90</v>
      </c>
      <c r="G7" s="23">
        <v>85</v>
      </c>
      <c r="H7" s="23">
        <v>88</v>
      </c>
      <c r="I7" s="23">
        <v>91</v>
      </c>
      <c r="J7" s="24">
        <f t="shared" si="0"/>
        <v>112</v>
      </c>
    </row>
    <row r="8" spans="1:10" ht="16" x14ac:dyDescent="0.35">
      <c r="A8" s="6" t="s">
        <v>55</v>
      </c>
      <c r="B8" s="23" t="s">
        <v>56</v>
      </c>
      <c r="C8" s="23" t="s">
        <v>57</v>
      </c>
      <c r="D8" s="23">
        <v>19</v>
      </c>
      <c r="E8" s="23">
        <v>81</v>
      </c>
      <c r="F8" s="23">
        <v>87</v>
      </c>
      <c r="G8" s="23">
        <v>84</v>
      </c>
      <c r="H8" s="23">
        <v>85</v>
      </c>
      <c r="I8" s="23">
        <v>89</v>
      </c>
      <c r="J8" s="24">
        <f t="shared" si="0"/>
        <v>108</v>
      </c>
    </row>
    <row r="9" spans="1:10" ht="16" x14ac:dyDescent="0.35">
      <c r="A9" s="6" t="s">
        <v>58</v>
      </c>
      <c r="B9" s="23" t="s">
        <v>59</v>
      </c>
      <c r="C9" s="23" t="s">
        <v>60</v>
      </c>
      <c r="D9" s="23">
        <v>20</v>
      </c>
      <c r="E9" s="23">
        <v>88</v>
      </c>
      <c r="F9" s="23">
        <v>82</v>
      </c>
      <c r="G9" s="23">
        <v>80</v>
      </c>
      <c r="H9" s="23">
        <v>43</v>
      </c>
      <c r="I9" s="23">
        <v>86</v>
      </c>
      <c r="J9" s="24">
        <f t="shared" si="0"/>
        <v>106</v>
      </c>
    </row>
    <row r="10" spans="1:10" ht="16" x14ac:dyDescent="0.35">
      <c r="A10" s="6" t="s">
        <v>61</v>
      </c>
      <c r="B10" s="23" t="s">
        <v>62</v>
      </c>
      <c r="C10" s="23" t="s">
        <v>63</v>
      </c>
      <c r="D10" s="23">
        <v>20</v>
      </c>
      <c r="E10" s="23">
        <v>49</v>
      </c>
      <c r="F10" s="23">
        <v>80</v>
      </c>
      <c r="G10" s="23">
        <v>82</v>
      </c>
      <c r="H10" s="23">
        <v>76</v>
      </c>
      <c r="I10" s="23">
        <v>85</v>
      </c>
      <c r="J10" s="24">
        <f t="shared" si="0"/>
        <v>105</v>
      </c>
    </row>
    <row r="11" spans="1:10" ht="16" x14ac:dyDescent="0.35">
      <c r="A11" s="6" t="s">
        <v>64</v>
      </c>
      <c r="B11" s="23" t="s">
        <v>65</v>
      </c>
      <c r="C11" s="23" t="s">
        <v>66</v>
      </c>
      <c r="D11" s="23">
        <v>21</v>
      </c>
      <c r="E11" s="23">
        <v>76</v>
      </c>
      <c r="F11" s="23">
        <v>74</v>
      </c>
      <c r="G11" s="23">
        <v>38</v>
      </c>
      <c r="H11" s="23">
        <v>82</v>
      </c>
      <c r="I11" s="23">
        <v>81</v>
      </c>
      <c r="J11" s="24">
        <f t="shared" si="0"/>
        <v>102</v>
      </c>
    </row>
    <row r="12" spans="1:10" ht="16" x14ac:dyDescent="0.35">
      <c r="A12" s="6" t="s">
        <v>67</v>
      </c>
      <c r="B12" s="23" t="s">
        <v>68</v>
      </c>
      <c r="C12" s="23" t="s">
        <v>69</v>
      </c>
      <c r="D12" s="23">
        <v>20</v>
      </c>
      <c r="E12" s="23">
        <v>72</v>
      </c>
      <c r="F12" s="23">
        <v>68</v>
      </c>
      <c r="G12" s="23">
        <v>75</v>
      </c>
      <c r="H12" s="23">
        <v>70</v>
      </c>
      <c r="I12" s="23">
        <v>80</v>
      </c>
      <c r="J12" s="24">
        <f t="shared" si="0"/>
        <v>100</v>
      </c>
    </row>
    <row r="13" spans="1:10" ht="16" x14ac:dyDescent="0.35">
      <c r="A13" s="6" t="s">
        <v>70</v>
      </c>
      <c r="B13" s="23" t="s">
        <v>71</v>
      </c>
      <c r="C13" s="23" t="s">
        <v>72</v>
      </c>
      <c r="D13" s="23">
        <v>19</v>
      </c>
      <c r="E13" s="23">
        <v>64</v>
      </c>
      <c r="F13" s="23">
        <v>72</v>
      </c>
      <c r="G13" s="23">
        <v>70</v>
      </c>
      <c r="H13" s="23">
        <v>68</v>
      </c>
      <c r="I13" s="23">
        <v>74</v>
      </c>
      <c r="J13" s="24">
        <f t="shared" si="0"/>
        <v>93</v>
      </c>
    </row>
    <row r="14" spans="1:10" ht="16" x14ac:dyDescent="0.35">
      <c r="A14" s="6" t="s">
        <v>73</v>
      </c>
      <c r="B14" s="23" t="s">
        <v>74</v>
      </c>
      <c r="C14" s="23" t="s">
        <v>75</v>
      </c>
      <c r="D14" s="23">
        <v>20</v>
      </c>
      <c r="E14" s="23">
        <v>67</v>
      </c>
      <c r="F14" s="23">
        <v>70</v>
      </c>
      <c r="G14" s="23">
        <v>72</v>
      </c>
      <c r="H14" s="23">
        <v>35</v>
      </c>
      <c r="I14" s="23">
        <v>71</v>
      </c>
      <c r="J14" s="24">
        <f t="shared" si="0"/>
        <v>91</v>
      </c>
    </row>
    <row r="15" spans="1:10" ht="16" x14ac:dyDescent="0.35">
      <c r="A15" s="6" t="s">
        <v>76</v>
      </c>
      <c r="B15" s="23" t="s">
        <v>77</v>
      </c>
      <c r="C15" s="23" t="s">
        <v>78</v>
      </c>
      <c r="D15" s="23">
        <v>22</v>
      </c>
      <c r="E15" s="23">
        <v>58</v>
      </c>
      <c r="F15" s="23">
        <v>62</v>
      </c>
      <c r="G15" s="23">
        <v>65</v>
      </c>
      <c r="H15" s="23">
        <v>60</v>
      </c>
      <c r="I15" s="23">
        <v>67</v>
      </c>
      <c r="J15" s="24">
        <f t="shared" si="0"/>
        <v>89</v>
      </c>
    </row>
    <row r="16" spans="1:10" ht="16" x14ac:dyDescent="0.35">
      <c r="A16" s="6" t="s">
        <v>79</v>
      </c>
      <c r="B16" s="23" t="s">
        <v>80</v>
      </c>
      <c r="C16" s="23" t="s">
        <v>81</v>
      </c>
      <c r="D16" s="23">
        <v>19</v>
      </c>
      <c r="E16" s="23">
        <v>85</v>
      </c>
      <c r="F16" s="23">
        <v>78</v>
      </c>
      <c r="G16" s="23">
        <v>92</v>
      </c>
      <c r="H16" s="23">
        <v>74</v>
      </c>
      <c r="I16" s="23">
        <v>46</v>
      </c>
      <c r="J16" s="24">
        <f t="shared" si="0"/>
        <v>65</v>
      </c>
    </row>
    <row r="18" spans="1:2" ht="16" x14ac:dyDescent="0.35">
      <c r="A18" s="25" t="s">
        <v>100</v>
      </c>
      <c r="B18" s="26" t="s">
        <v>52</v>
      </c>
    </row>
    <row r="19" spans="1:2" ht="16" x14ac:dyDescent="0.35">
      <c r="A19" s="25" t="s">
        <v>101</v>
      </c>
      <c r="B19" s="26" t="str">
        <f>_xlfn.XLOOKUP(B18,A2:A16,B2:B16)</f>
        <v>Ananya</v>
      </c>
    </row>
    <row r="20" spans="1:2" ht="16" x14ac:dyDescent="0.35">
      <c r="A20" s="25" t="s">
        <v>102</v>
      </c>
      <c r="B20" s="26">
        <f>MATCH(B18,A2:A16,0)</f>
        <v>6</v>
      </c>
    </row>
    <row r="21" spans="1:2" ht="16" x14ac:dyDescent="0.35">
      <c r="A21" s="25" t="s">
        <v>103</v>
      </c>
      <c r="B21" s="26">
        <f>INDEX(J2:J16,MATCH(B18,A2:A16,0))</f>
        <v>112</v>
      </c>
    </row>
  </sheetData>
  <conditionalFormatting sqref="E2:I16">
    <cfRule type="cellIs" dxfId="11" priority="1" operator="lessThan">
      <formula>50</formula>
    </cfRule>
    <cfRule type="cellIs" dxfId="10" priority="2" operator="between">
      <formula>50</formula>
      <formula>75</formula>
    </cfRule>
    <cfRule type="cellIs" dxfId="9" priority="3" operator="greaterThan">
      <formula>75</formula>
    </cfRule>
    <cfRule type="cellIs" dxfId="8" priority="4" operator="lessThan">
      <formula>50</formula>
    </cfRule>
    <cfRule type="cellIs" dxfId="7" priority="5" operator="between">
      <formula>50</formula>
      <formula>80</formula>
    </cfRule>
    <cfRule type="cellIs" dxfId="6" priority="6" operator="greaterThan">
      <formula>80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3E45-99D9-475B-A311-1BB986A1B24B}">
  <sheetPr codeName="Sheet4"/>
  <dimension ref="A1:F11"/>
  <sheetViews>
    <sheetView workbookViewId="0"/>
  </sheetViews>
  <sheetFormatPr defaultRowHeight="14.5" x14ac:dyDescent="0.35"/>
  <cols>
    <col min="1" max="1" width="17.90625" customWidth="1"/>
    <col min="2" max="2" width="20.1796875" customWidth="1"/>
    <col min="3" max="3" width="17.6328125" customWidth="1"/>
    <col min="5" max="5" width="18" customWidth="1"/>
    <col min="6" max="6" width="26.81640625" customWidth="1"/>
  </cols>
  <sheetData>
    <row r="1" spans="1:6" x14ac:dyDescent="0.35">
      <c r="A1" s="27" t="s">
        <v>104</v>
      </c>
      <c r="B1" s="27" t="s">
        <v>105</v>
      </c>
      <c r="C1" s="27" t="s">
        <v>106</v>
      </c>
    </row>
    <row r="2" spans="1:6" x14ac:dyDescent="0.35">
      <c r="A2" s="26" t="s">
        <v>107</v>
      </c>
      <c r="B2" s="26" t="s">
        <v>108</v>
      </c>
      <c r="C2" s="26" t="s">
        <v>109</v>
      </c>
    </row>
    <row r="3" spans="1:6" x14ac:dyDescent="0.35">
      <c r="A3" s="26" t="s">
        <v>110</v>
      </c>
      <c r="B3" s="26" t="s">
        <v>111</v>
      </c>
      <c r="C3" s="26" t="s">
        <v>112</v>
      </c>
    </row>
    <row r="4" spans="1:6" x14ac:dyDescent="0.35">
      <c r="A4" s="26" t="s">
        <v>113</v>
      </c>
      <c r="B4" s="26" t="s">
        <v>114</v>
      </c>
      <c r="C4" s="26" t="s">
        <v>115</v>
      </c>
    </row>
    <row r="5" spans="1:6" x14ac:dyDescent="0.35">
      <c r="A5" s="26" t="s">
        <v>116</v>
      </c>
      <c r="B5" s="26" t="s">
        <v>117</v>
      </c>
      <c r="C5" s="26" t="s">
        <v>118</v>
      </c>
      <c r="E5" t="s">
        <v>137</v>
      </c>
      <c r="F5" t="s">
        <v>111</v>
      </c>
    </row>
    <row r="6" spans="1:6" x14ac:dyDescent="0.35">
      <c r="A6" s="26" t="s">
        <v>119</v>
      </c>
      <c r="B6" s="26" t="s">
        <v>120</v>
      </c>
      <c r="C6" s="26" t="s">
        <v>121</v>
      </c>
    </row>
    <row r="7" spans="1:6" x14ac:dyDescent="0.35">
      <c r="A7" s="26" t="s">
        <v>122</v>
      </c>
      <c r="B7" s="26" t="s">
        <v>123</v>
      </c>
      <c r="C7" s="26" t="s">
        <v>124</v>
      </c>
    </row>
    <row r="8" spans="1:6" x14ac:dyDescent="0.35">
      <c r="A8" s="26" t="s">
        <v>125</v>
      </c>
      <c r="B8" s="26" t="s">
        <v>126</v>
      </c>
      <c r="C8" s="26" t="s">
        <v>127</v>
      </c>
    </row>
    <row r="9" spans="1:6" x14ac:dyDescent="0.35">
      <c r="A9" s="26" t="s">
        <v>128</v>
      </c>
      <c r="B9" s="26" t="s">
        <v>129</v>
      </c>
      <c r="C9" s="26" t="s">
        <v>130</v>
      </c>
    </row>
    <row r="10" spans="1:6" x14ac:dyDescent="0.35">
      <c r="A10" s="26" t="s">
        <v>131</v>
      </c>
      <c r="B10" s="26" t="s">
        <v>132</v>
      </c>
      <c r="C10" s="26" t="s">
        <v>133</v>
      </c>
    </row>
    <row r="11" spans="1:6" x14ac:dyDescent="0.35">
      <c r="A11" s="26" t="s">
        <v>134</v>
      </c>
      <c r="B11" s="26" t="s">
        <v>135</v>
      </c>
      <c r="C11" s="26" t="s">
        <v>136</v>
      </c>
    </row>
  </sheetData>
  <conditionalFormatting sqref="A1:C11">
    <cfRule type="expression" dxfId="5" priority="1">
      <formula>A1&lt;&gt;""</formula>
    </cfRule>
    <cfRule type="expression" dxfId="4" priority="2">
      <formula>$A$1&lt;&gt;""</formula>
    </cfRule>
    <cfRule type="expression" dxfId="3" priority="3">
      <formula>$A$1&lt;&gt;""</formula>
    </cfRule>
    <cfRule type="expression" dxfId="2" priority="4">
      <formula>$A$1&lt;&gt;""</formula>
    </cfRule>
  </conditionalFormatting>
  <dataValidations count="2">
    <dataValidation type="list" allowBlank="1" showInputMessage="1" showErrorMessage="1" sqref="E5" xr:uid="{AC476F87-5D02-4F57-B942-14270FD6178D}">
      <formula1>"ClassA , ClassB , ClassC"</formula1>
    </dataValidation>
    <dataValidation type="list" allowBlank="1" showInputMessage="1" showErrorMessage="1" sqref="F5" xr:uid="{C94246AB-5D2D-4E2F-A294-4FB12893E21F}">
      <formula1>INDIRECT($E$5)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60CB-3DB5-46AF-9180-E17CC9B45A85}">
  <sheetPr codeName="Sheet5"/>
  <dimension ref="A1:M15"/>
  <sheetViews>
    <sheetView tabSelected="1" workbookViewId="0"/>
  </sheetViews>
  <sheetFormatPr defaultRowHeight="14.5" x14ac:dyDescent="0.35"/>
  <cols>
    <col min="1" max="1" width="8.453125" bestFit="1" customWidth="1"/>
    <col min="2" max="2" width="15.90625" bestFit="1" customWidth="1"/>
    <col min="3" max="13" width="10.36328125" bestFit="1" customWidth="1"/>
    <col min="16" max="16" width="2" bestFit="1" customWidth="1"/>
  </cols>
  <sheetData>
    <row r="1" spans="1:13" ht="15.5" x14ac:dyDescent="0.35">
      <c r="A1" s="28" t="s">
        <v>82</v>
      </c>
      <c r="B1" s="29" t="s">
        <v>83</v>
      </c>
      <c r="C1" s="30">
        <v>46023</v>
      </c>
      <c r="D1" s="30">
        <v>46024</v>
      </c>
      <c r="E1" s="30">
        <v>46025</v>
      </c>
      <c r="F1" s="30">
        <v>46026</v>
      </c>
      <c r="G1" s="30">
        <v>46027</v>
      </c>
      <c r="H1" s="30">
        <v>46028</v>
      </c>
      <c r="I1" s="30">
        <v>46029</v>
      </c>
      <c r="J1" s="30">
        <v>46030</v>
      </c>
      <c r="K1" s="30">
        <v>46031</v>
      </c>
      <c r="L1" s="30">
        <v>46032</v>
      </c>
      <c r="M1" s="30">
        <v>46033</v>
      </c>
    </row>
    <row r="2" spans="1:13" ht="16" x14ac:dyDescent="0.35">
      <c r="A2" s="31">
        <v>101</v>
      </c>
      <c r="B2" s="32" t="s">
        <v>84</v>
      </c>
      <c r="C2" s="26" t="s">
        <v>98</v>
      </c>
      <c r="D2" s="26" t="s">
        <v>99</v>
      </c>
      <c r="E2" s="26" t="s">
        <v>99</v>
      </c>
      <c r="F2" s="26" t="s">
        <v>99</v>
      </c>
      <c r="G2" s="26" t="s">
        <v>99</v>
      </c>
      <c r="H2" s="26" t="s">
        <v>99</v>
      </c>
      <c r="I2" s="26" t="s">
        <v>99</v>
      </c>
      <c r="J2" s="26" t="s">
        <v>98</v>
      </c>
      <c r="K2" s="26" t="s">
        <v>99</v>
      </c>
      <c r="L2" s="26" t="s">
        <v>99</v>
      </c>
      <c r="M2" s="26" t="s">
        <v>99</v>
      </c>
    </row>
    <row r="3" spans="1:13" ht="16" x14ac:dyDescent="0.35">
      <c r="A3" s="31">
        <v>102</v>
      </c>
      <c r="B3" s="32" t="s">
        <v>85</v>
      </c>
      <c r="C3" s="26" t="s">
        <v>99</v>
      </c>
      <c r="D3" s="30" t="s">
        <v>98</v>
      </c>
      <c r="E3" s="26" t="s">
        <v>99</v>
      </c>
      <c r="F3" s="26" t="s">
        <v>98</v>
      </c>
      <c r="G3" s="26" t="s">
        <v>98</v>
      </c>
      <c r="H3" s="26" t="s">
        <v>98</v>
      </c>
      <c r="I3" s="26" t="s">
        <v>99</v>
      </c>
      <c r="J3" s="26" t="s">
        <v>99</v>
      </c>
      <c r="K3" s="26" t="s">
        <v>99</v>
      </c>
      <c r="L3" s="26" t="s">
        <v>99</v>
      </c>
      <c r="M3" s="26" t="s">
        <v>99</v>
      </c>
    </row>
    <row r="4" spans="1:13" ht="16" x14ac:dyDescent="0.35">
      <c r="A4" s="31">
        <v>103</v>
      </c>
      <c r="B4" s="32" t="s">
        <v>86</v>
      </c>
      <c r="C4" s="26" t="s">
        <v>99</v>
      </c>
      <c r="D4" s="26" t="s">
        <v>99</v>
      </c>
      <c r="E4" s="26" t="s">
        <v>99</v>
      </c>
      <c r="F4" s="26" t="s">
        <v>99</v>
      </c>
      <c r="G4" s="26" t="s">
        <v>99</v>
      </c>
      <c r="H4" s="26" t="s">
        <v>99</v>
      </c>
      <c r="I4" s="26" t="s">
        <v>99</v>
      </c>
      <c r="J4" s="26" t="s">
        <v>99</v>
      </c>
      <c r="K4" s="26" t="s">
        <v>99</v>
      </c>
      <c r="L4" s="26" t="s">
        <v>99</v>
      </c>
      <c r="M4" s="26" t="s">
        <v>99</v>
      </c>
    </row>
    <row r="5" spans="1:13" ht="16" x14ac:dyDescent="0.35">
      <c r="A5" s="31">
        <v>104</v>
      </c>
      <c r="B5" s="32" t="s">
        <v>87</v>
      </c>
      <c r="C5" s="26" t="s">
        <v>99</v>
      </c>
      <c r="D5" s="26" t="s">
        <v>99</v>
      </c>
      <c r="E5" s="26" t="s">
        <v>98</v>
      </c>
      <c r="F5" s="26" t="s">
        <v>99</v>
      </c>
      <c r="G5" s="26" t="s">
        <v>99</v>
      </c>
      <c r="H5" s="26" t="s">
        <v>99</v>
      </c>
      <c r="I5" s="26" t="s">
        <v>99</v>
      </c>
      <c r="J5" s="26" t="s">
        <v>99</v>
      </c>
      <c r="K5" s="26" t="s">
        <v>99</v>
      </c>
      <c r="L5" s="26" t="s">
        <v>99</v>
      </c>
      <c r="M5" s="26" t="s">
        <v>99</v>
      </c>
    </row>
    <row r="6" spans="1:13" ht="16" x14ac:dyDescent="0.35">
      <c r="A6" s="31">
        <v>105</v>
      </c>
      <c r="B6" s="32" t="s">
        <v>88</v>
      </c>
      <c r="C6" s="26" t="s">
        <v>99</v>
      </c>
      <c r="D6" s="26" t="s">
        <v>99</v>
      </c>
      <c r="E6" s="26" t="s">
        <v>99</v>
      </c>
      <c r="F6" s="26" t="s">
        <v>99</v>
      </c>
      <c r="G6" s="26" t="s">
        <v>99</v>
      </c>
      <c r="H6" s="26" t="s">
        <v>99</v>
      </c>
      <c r="I6" s="26" t="s">
        <v>98</v>
      </c>
      <c r="J6" s="26" t="s">
        <v>99</v>
      </c>
      <c r="K6" s="26" t="s">
        <v>99</v>
      </c>
      <c r="L6" s="26" t="s">
        <v>98</v>
      </c>
      <c r="M6" s="26" t="s">
        <v>99</v>
      </c>
    </row>
    <row r="7" spans="1:13" ht="16" x14ac:dyDescent="0.35">
      <c r="A7" s="31">
        <v>106</v>
      </c>
      <c r="B7" s="32" t="s">
        <v>89</v>
      </c>
      <c r="C7" s="26" t="s">
        <v>99</v>
      </c>
      <c r="D7" s="26" t="s">
        <v>99</v>
      </c>
      <c r="E7" s="26" t="s">
        <v>99</v>
      </c>
      <c r="F7" s="26" t="s">
        <v>99</v>
      </c>
      <c r="G7" s="26" t="s">
        <v>99</v>
      </c>
      <c r="H7" s="26" t="s">
        <v>99</v>
      </c>
      <c r="I7" s="26" t="s">
        <v>99</v>
      </c>
      <c r="J7" s="26" t="s">
        <v>99</v>
      </c>
      <c r="K7" s="26" t="s">
        <v>99</v>
      </c>
      <c r="L7" s="26" t="s">
        <v>99</v>
      </c>
      <c r="M7" s="26" t="s">
        <v>98</v>
      </c>
    </row>
    <row r="8" spans="1:13" ht="16" x14ac:dyDescent="0.35">
      <c r="A8" s="31">
        <v>107</v>
      </c>
      <c r="B8" s="32" t="s">
        <v>90</v>
      </c>
      <c r="C8" s="26" t="s">
        <v>99</v>
      </c>
      <c r="D8" s="26" t="s">
        <v>99</v>
      </c>
      <c r="E8" s="26" t="s">
        <v>99</v>
      </c>
      <c r="F8" s="26" t="s">
        <v>99</v>
      </c>
      <c r="G8" s="26" t="s">
        <v>99</v>
      </c>
      <c r="H8" s="26" t="s">
        <v>99</v>
      </c>
      <c r="I8" s="26" t="s">
        <v>99</v>
      </c>
      <c r="J8" s="26" t="s">
        <v>99</v>
      </c>
      <c r="K8" s="26" t="s">
        <v>99</v>
      </c>
      <c r="L8" s="26" t="s">
        <v>99</v>
      </c>
      <c r="M8" s="26" t="s">
        <v>99</v>
      </c>
    </row>
    <row r="9" spans="1:13" ht="16" x14ac:dyDescent="0.35">
      <c r="A9" s="31">
        <v>108</v>
      </c>
      <c r="B9" s="32" t="s">
        <v>91</v>
      </c>
      <c r="C9" s="26" t="s">
        <v>98</v>
      </c>
      <c r="D9" s="26" t="s">
        <v>99</v>
      </c>
      <c r="E9" s="26" t="s">
        <v>99</v>
      </c>
      <c r="F9" s="26" t="s">
        <v>99</v>
      </c>
      <c r="G9" s="26" t="s">
        <v>98</v>
      </c>
      <c r="H9" s="26" t="s">
        <v>99</v>
      </c>
      <c r="I9" s="26" t="s">
        <v>99</v>
      </c>
      <c r="J9" s="26" t="s">
        <v>99</v>
      </c>
      <c r="K9" s="26" t="s">
        <v>99</v>
      </c>
      <c r="L9" s="26" t="s">
        <v>99</v>
      </c>
      <c r="M9" s="26" t="s">
        <v>99</v>
      </c>
    </row>
    <row r="10" spans="1:13" ht="16" x14ac:dyDescent="0.35">
      <c r="A10" s="31">
        <v>109</v>
      </c>
      <c r="B10" s="32" t="s">
        <v>92</v>
      </c>
      <c r="C10" s="26" t="s">
        <v>99</v>
      </c>
      <c r="D10" s="26" t="s">
        <v>99</v>
      </c>
      <c r="E10" s="26" t="s">
        <v>99</v>
      </c>
      <c r="F10" s="26" t="s">
        <v>99</v>
      </c>
      <c r="G10" s="26" t="s">
        <v>99</v>
      </c>
      <c r="H10" s="26" t="s">
        <v>98</v>
      </c>
      <c r="I10" s="26" t="s">
        <v>99</v>
      </c>
      <c r="J10" s="26" t="s">
        <v>99</v>
      </c>
      <c r="K10" s="26" t="s">
        <v>99</v>
      </c>
      <c r="L10" s="26" t="s">
        <v>98</v>
      </c>
      <c r="M10" s="26" t="s">
        <v>99</v>
      </c>
    </row>
    <row r="11" spans="1:13" ht="16" x14ac:dyDescent="0.35">
      <c r="A11" s="31">
        <v>110</v>
      </c>
      <c r="B11" s="32" t="s">
        <v>93</v>
      </c>
      <c r="C11" s="26" t="s">
        <v>99</v>
      </c>
      <c r="D11" s="26" t="s">
        <v>99</v>
      </c>
      <c r="E11" s="26" t="s">
        <v>98</v>
      </c>
      <c r="F11" s="26" t="s">
        <v>99</v>
      </c>
      <c r="G11" s="26" t="s">
        <v>99</v>
      </c>
      <c r="H11" s="26" t="s">
        <v>99</v>
      </c>
      <c r="I11" s="26" t="s">
        <v>98</v>
      </c>
      <c r="J11" s="26" t="s">
        <v>99</v>
      </c>
      <c r="K11" s="26" t="s">
        <v>99</v>
      </c>
      <c r="L11" s="26" t="s">
        <v>99</v>
      </c>
      <c r="M11" s="26" t="s">
        <v>99</v>
      </c>
    </row>
    <row r="12" spans="1:13" ht="16" x14ac:dyDescent="0.35">
      <c r="A12" s="31">
        <v>111</v>
      </c>
      <c r="B12" s="32" t="s">
        <v>94</v>
      </c>
      <c r="C12" s="26" t="s">
        <v>99</v>
      </c>
      <c r="D12" s="26" t="s">
        <v>99</v>
      </c>
      <c r="E12" s="26" t="s">
        <v>99</v>
      </c>
      <c r="F12" s="26" t="s">
        <v>99</v>
      </c>
      <c r="G12" s="26" t="s">
        <v>99</v>
      </c>
      <c r="H12" s="26" t="s">
        <v>99</v>
      </c>
      <c r="I12" s="26" t="s">
        <v>99</v>
      </c>
      <c r="J12" s="26" t="s">
        <v>99</v>
      </c>
      <c r="K12" s="26" t="s">
        <v>98</v>
      </c>
      <c r="L12" s="26" t="s">
        <v>99</v>
      </c>
      <c r="M12" s="26" t="s">
        <v>98</v>
      </c>
    </row>
    <row r="13" spans="1:13" ht="16" x14ac:dyDescent="0.35">
      <c r="A13" s="31">
        <v>112</v>
      </c>
      <c r="B13" s="32" t="s">
        <v>95</v>
      </c>
      <c r="C13" s="26" t="s">
        <v>99</v>
      </c>
      <c r="D13" s="26" t="s">
        <v>98</v>
      </c>
      <c r="E13" s="26" t="s">
        <v>99</v>
      </c>
      <c r="F13" s="26" t="s">
        <v>99</v>
      </c>
      <c r="G13" s="26" t="s">
        <v>99</v>
      </c>
      <c r="H13" s="26" t="s">
        <v>98</v>
      </c>
      <c r="I13" s="26" t="s">
        <v>99</v>
      </c>
      <c r="J13" s="26" t="s">
        <v>99</v>
      </c>
      <c r="K13" s="26" t="s">
        <v>99</v>
      </c>
      <c r="L13" s="26" t="s">
        <v>99</v>
      </c>
      <c r="M13" s="26" t="s">
        <v>98</v>
      </c>
    </row>
    <row r="14" spans="1:13" ht="16" x14ac:dyDescent="0.35">
      <c r="A14" s="31">
        <v>113</v>
      </c>
      <c r="B14" s="32" t="s">
        <v>96</v>
      </c>
      <c r="C14" s="26" t="s">
        <v>99</v>
      </c>
      <c r="D14" s="26" t="s">
        <v>99</v>
      </c>
      <c r="E14" s="26" t="s">
        <v>99</v>
      </c>
      <c r="F14" s="26" t="s">
        <v>99</v>
      </c>
      <c r="G14" s="26" t="s">
        <v>99</v>
      </c>
      <c r="H14" s="26" t="s">
        <v>99</v>
      </c>
      <c r="I14" s="26" t="s">
        <v>99</v>
      </c>
      <c r="J14" s="26" t="s">
        <v>99</v>
      </c>
      <c r="K14" s="26" t="s">
        <v>99</v>
      </c>
      <c r="L14" s="26" t="s">
        <v>99</v>
      </c>
      <c r="M14" s="26" t="s">
        <v>98</v>
      </c>
    </row>
    <row r="15" spans="1:13" ht="16" x14ac:dyDescent="0.35">
      <c r="A15" s="31">
        <v>114</v>
      </c>
      <c r="B15" s="32" t="s">
        <v>97</v>
      </c>
      <c r="C15" s="26" t="s">
        <v>98</v>
      </c>
      <c r="D15" s="26" t="s">
        <v>99</v>
      </c>
      <c r="E15" s="26" t="s">
        <v>99</v>
      </c>
      <c r="F15" s="26" t="s">
        <v>98</v>
      </c>
      <c r="G15" s="26" t="s">
        <v>99</v>
      </c>
      <c r="H15" s="26" t="s">
        <v>99</v>
      </c>
      <c r="I15" s="26" t="s">
        <v>99</v>
      </c>
      <c r="J15" s="26" t="s">
        <v>98</v>
      </c>
      <c r="K15" s="26" t="s">
        <v>99</v>
      </c>
      <c r="L15" s="26" t="s">
        <v>99</v>
      </c>
      <c r="M15" s="26" t="s">
        <v>98</v>
      </c>
    </row>
  </sheetData>
  <conditionalFormatting sqref="C2:M15 P9:P10">
    <cfRule type="cellIs" dxfId="1" priority="1" operator="equal">
      <formula>"P"</formula>
    </cfRule>
    <cfRule type="cellIs" dxfId="0" priority="2" operator="equal">
      <formula>"A"</formula>
    </cfRule>
  </conditionalFormatting>
  <dataValidations count="1">
    <dataValidation type="list" allowBlank="1" showInputMessage="1" showErrorMessage="1" sqref="C2:M15" xr:uid="{A21B2007-A1D8-41C1-A41E-9E4B49B59C17}">
      <formula1>"A,P"</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Sheet1</vt:lpstr>
      <vt:lpstr>Sheet4</vt:lpstr>
      <vt:lpstr>Sheet5</vt:lpstr>
      <vt:lpstr>Sheet3</vt:lpstr>
      <vt:lpstr>Sheet6</vt:lpstr>
      <vt:lpstr>Sheet2</vt:lpstr>
      <vt:lpstr>Sheet7</vt:lpstr>
      <vt:lpstr>ClassA</vt:lpstr>
      <vt:lpstr>ClassB</vt:lpstr>
      <vt:lpstr>ClassC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Swasti Raiyani</dc:creator>
  <cp:lastModifiedBy>Shreena Solia</cp:lastModifiedBy>
  <dcterms:created xsi:type="dcterms:W3CDTF">2026-08-17T06:44:57Z</dcterms:created>
  <dcterms:modified xsi:type="dcterms:W3CDTF">2026-09-17T07:08:45Z</dcterms:modified>
</cp:coreProperties>
</file>