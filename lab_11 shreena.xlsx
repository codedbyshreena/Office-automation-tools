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ce99177b26c586f9/Desktop/office automation tools/"/>
    </mc:Choice>
  </mc:AlternateContent>
  <xr:revisionPtr revIDLastSave="176" documentId="8_{0C2C5556-18A5-455D-B1FC-C2CA37DC1514}" xr6:coauthVersionLast="47" xr6:coauthVersionMax="47" xr10:uidLastSave="{087F2D8C-3EF7-4B38-AA8D-244EDEFB5942}"/>
  <bookViews>
    <workbookView xWindow="-110" yWindow="-110" windowWidth="19420" windowHeight="11500" activeTab="1" xr2:uid="{D498019E-59E5-4239-8815-A97D6E10EBDE}"/>
  </bookViews>
  <sheets>
    <sheet name="Sheet4" sheetId="4" r:id="rId1"/>
    <sheet name="Sheet1" sheetId="1" r:id="rId2"/>
  </sheets>
  <definedNames>
    <definedName name="Slicer_Category">#N/A</definedName>
    <definedName name="Slicer_Payment_Mode">#N/A</definedName>
    <definedName name="Slicer_Payment_Mode1">#N/A</definedName>
    <definedName name="Slicer_Quantity">#N/A</definedName>
    <definedName name="Slicer_Region">#N/A</definedName>
  </definedNames>
  <calcPr calcId="191029"/>
  <pivotCaches>
    <pivotCache cacheId="21"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1" l="1"/>
  <c r="D23" i="1"/>
  <c r="D21" i="1"/>
</calcChain>
</file>

<file path=xl/sharedStrings.xml><?xml version="1.0" encoding="utf-8"?>
<sst xmlns="http://schemas.openxmlformats.org/spreadsheetml/2006/main" count="284" uniqueCount="77">
  <si>
    <t>Order ID</t>
  </si>
  <si>
    <t>Region</t>
  </si>
  <si>
    <t>Name</t>
  </si>
  <si>
    <t>Product</t>
  </si>
  <si>
    <t>Category</t>
  </si>
  <si>
    <t>Quantity</t>
  </si>
  <si>
    <t>Sale Price</t>
  </si>
  <si>
    <t>Total Sale Value</t>
  </si>
  <si>
    <t>Payment Mode</t>
  </si>
  <si>
    <t>ORD001</t>
  </si>
  <si>
    <t>North</t>
  </si>
  <si>
    <t>Aditi Sharma</t>
  </si>
  <si>
    <t>Laptop</t>
  </si>
  <si>
    <t>Electronics</t>
  </si>
  <si>
    <t>Credit Card</t>
  </si>
  <si>
    <t>ORD002</t>
  </si>
  <si>
    <t>South</t>
  </si>
  <si>
    <t>Rahul Mehta</t>
  </si>
  <si>
    <t>Mobile Phone</t>
  </si>
  <si>
    <t>UPI</t>
  </si>
  <si>
    <t>ORD003</t>
  </si>
  <si>
    <t>East</t>
  </si>
  <si>
    <t>Priya Patel</t>
  </si>
  <si>
    <t>Office Chair</t>
  </si>
  <si>
    <t>Furniture</t>
  </si>
  <si>
    <t>Cash</t>
  </si>
  <si>
    <t>ORD004</t>
  </si>
  <si>
    <t>West</t>
  </si>
  <si>
    <t>Karan Joshi</t>
  </si>
  <si>
    <t>Refrigerator</t>
  </si>
  <si>
    <t>Appliances</t>
  </si>
  <si>
    <t>Debit Card</t>
  </si>
  <si>
    <t>ORD005</t>
  </si>
  <si>
    <t>Sneha Desai</t>
  </si>
  <si>
    <t>Headphones</t>
  </si>
  <si>
    <t>ORD006</t>
  </si>
  <si>
    <t>Vivek Shah</t>
  </si>
  <si>
    <t>Study Table</t>
  </si>
  <si>
    <t>ORD007</t>
  </si>
  <si>
    <t>Neha Singh</t>
  </si>
  <si>
    <t>Washing Machine</t>
  </si>
  <si>
    <t>ORD008</t>
  </si>
  <si>
    <t>Arjun Kumar</t>
  </si>
  <si>
    <t>Smartwatch</t>
  </si>
  <si>
    <t>ORD009</t>
  </si>
  <si>
    <t>Meera Iyer</t>
  </si>
  <si>
    <t>Sofa Set</t>
  </si>
  <si>
    <t>ORD010</t>
  </si>
  <si>
    <t>Rohan Gupta</t>
  </si>
  <si>
    <t>Microwave Oven</t>
  </si>
  <si>
    <t>ORD011</t>
  </si>
  <si>
    <t>Anjali Nair</t>
  </si>
  <si>
    <t>Tablet</t>
  </si>
  <si>
    <t>ORD012</t>
  </si>
  <si>
    <t>Dev Patel</t>
  </si>
  <si>
    <t>Dining Table</t>
  </si>
  <si>
    <t>ORD013</t>
  </si>
  <si>
    <t>Pooja Verma</t>
  </si>
  <si>
    <t>Air Conditioner</t>
  </si>
  <si>
    <t>ORD014</t>
  </si>
  <si>
    <t>Sameer Khan</t>
  </si>
  <si>
    <t>Bluetooth Speaker</t>
  </si>
  <si>
    <t>ORD015</t>
  </si>
  <si>
    <t>Tanya Roy</t>
  </si>
  <si>
    <t>Bookshelf</t>
  </si>
  <si>
    <t>Column Labels</t>
  </si>
  <si>
    <t>Grand Total</t>
  </si>
  <si>
    <t>Row Labels</t>
  </si>
  <si>
    <t>Sum of Total Sale Value</t>
  </si>
  <si>
    <t>Total Sum of Total Sale Value</t>
  </si>
  <si>
    <t>Total Sum of Quantity</t>
  </si>
  <si>
    <t>Sum of Quantity</t>
  </si>
  <si>
    <t>LookUp Value</t>
  </si>
  <si>
    <t>LookUp Function</t>
  </si>
  <si>
    <t>Field</t>
  </si>
  <si>
    <t xml:space="preserve"> </t>
  </si>
  <si>
    <t>NOTE : this works only when we select the first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</si>
</sst>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3" fontId="0" fillId="0" borderId="0" xfId="0" applyNumberFormat="1"/>
    <xf numFmtId="14" fontId="0" fillId="0" borderId="0" xfId="0" applyNumberFormat="1" applyAlignment="1">
      <alignmen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3" fontId="0" fillId="0" borderId="1" xfId="0" applyNumberFormat="1" applyBorder="1" applyAlignment="1">
      <alignment horizontal="center" vertical="center" wrapText="1"/>
    </xf>
    <xf numFmtId="0" fontId="1" fillId="2" borderId="1" xfId="0" applyFont="1" applyFill="1" applyBorder="1" applyAlignment="1">
      <alignment horizontal="center" vertical="center" wrapText="1"/>
    </xf>
    <xf numFmtId="3" fontId="0" fillId="0" borderId="0" xfId="0" applyNumberFormat="1"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Fill="1" applyBorder="1" applyAlignment="1">
      <alignment horizontal="center" vertical="center" wrapText="1"/>
    </xf>
  </cellXfs>
  <cellStyles count="1">
    <cellStyle name="Normal" xfId="0" builtinId="0"/>
  </cellStyles>
  <dxfs count="212">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[lab_11.xlsx]Sheet4!PivotTable3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Appliances</c:v>
                </c:pt>
              </c:strCache>
            </c:strRef>
          </c:tx>
          <c:spPr>
            <a:solidFill>
              <a:schemeClr val="accent1"/>
            </a:solidFill>
            <a:ln>
              <a:noFill/>
            </a:ln>
            <a:effectLst/>
          </c:spPr>
          <c:invertIfNegative val="0"/>
          <c:cat>
            <c:strRef>
              <c:f>Sheet4!$A$5:$A$9</c:f>
              <c:strCache>
                <c:ptCount val="4"/>
                <c:pt idx="0">
                  <c:v>East</c:v>
                </c:pt>
                <c:pt idx="1">
                  <c:v>North</c:v>
                </c:pt>
                <c:pt idx="2">
                  <c:v>South</c:v>
                </c:pt>
                <c:pt idx="3">
                  <c:v>West</c:v>
                </c:pt>
              </c:strCache>
            </c:strRef>
          </c:cat>
          <c:val>
            <c:numRef>
              <c:f>Sheet4!$B$5:$B$9</c:f>
              <c:numCache>
                <c:formatCode>#,##0</c:formatCode>
                <c:ptCount val="4"/>
                <c:pt idx="0">
                  <c:v>24640</c:v>
                </c:pt>
                <c:pt idx="1">
                  <c:v>39600</c:v>
                </c:pt>
                <c:pt idx="2">
                  <c:v>28500</c:v>
                </c:pt>
                <c:pt idx="3">
                  <c:v>36800</c:v>
                </c:pt>
              </c:numCache>
            </c:numRef>
          </c:val>
          <c:extLst>
            <c:ext xmlns:c16="http://schemas.microsoft.com/office/drawing/2014/chart" uri="{C3380CC4-5D6E-409C-BE32-E72D297353CC}">
              <c16:uniqueId val="{00000000-ACFD-4C37-82F0-A34565586964}"/>
            </c:ext>
          </c:extLst>
        </c:ser>
        <c:ser>
          <c:idx val="1"/>
          <c:order val="1"/>
          <c:tx>
            <c:strRef>
              <c:f>Sheet4!$C$3:$C$4</c:f>
              <c:strCache>
                <c:ptCount val="1"/>
                <c:pt idx="0">
                  <c:v>Electronics</c:v>
                </c:pt>
              </c:strCache>
            </c:strRef>
          </c:tx>
          <c:spPr>
            <a:solidFill>
              <a:schemeClr val="accent2"/>
            </a:solidFill>
            <a:ln>
              <a:noFill/>
            </a:ln>
            <a:effectLst/>
          </c:spPr>
          <c:invertIfNegative val="0"/>
          <c:cat>
            <c:strRef>
              <c:f>Sheet4!$A$5:$A$9</c:f>
              <c:strCache>
                <c:ptCount val="4"/>
                <c:pt idx="0">
                  <c:v>East</c:v>
                </c:pt>
                <c:pt idx="1">
                  <c:v>North</c:v>
                </c:pt>
                <c:pt idx="2">
                  <c:v>South</c:v>
                </c:pt>
                <c:pt idx="3">
                  <c:v>West</c:v>
                </c:pt>
              </c:strCache>
            </c:strRef>
          </c:cat>
          <c:val>
            <c:numRef>
              <c:f>Sheet4!$C$5:$C$9</c:f>
              <c:numCache>
                <c:formatCode>#,##0</c:formatCode>
                <c:ptCount val="4"/>
                <c:pt idx="0">
                  <c:v>64800</c:v>
                </c:pt>
                <c:pt idx="1">
                  <c:v>113000</c:v>
                </c:pt>
                <c:pt idx="2">
                  <c:v>82800</c:v>
                </c:pt>
                <c:pt idx="3">
                  <c:v>16200</c:v>
                </c:pt>
              </c:numCache>
            </c:numRef>
          </c:val>
          <c:extLst>
            <c:ext xmlns:c16="http://schemas.microsoft.com/office/drawing/2014/chart" uri="{C3380CC4-5D6E-409C-BE32-E72D297353CC}">
              <c16:uniqueId val="{00000001-ACFD-4C37-82F0-A34565586964}"/>
            </c:ext>
          </c:extLst>
        </c:ser>
        <c:ser>
          <c:idx val="2"/>
          <c:order val="2"/>
          <c:tx>
            <c:strRef>
              <c:f>Sheet4!$D$3:$D$4</c:f>
              <c:strCache>
                <c:ptCount val="1"/>
                <c:pt idx="0">
                  <c:v>Furniture</c:v>
                </c:pt>
              </c:strCache>
            </c:strRef>
          </c:tx>
          <c:spPr>
            <a:solidFill>
              <a:schemeClr val="accent3"/>
            </a:solidFill>
            <a:ln>
              <a:noFill/>
            </a:ln>
            <a:effectLst/>
          </c:spPr>
          <c:invertIfNegative val="0"/>
          <c:cat>
            <c:strRef>
              <c:f>Sheet4!$A$5:$A$9</c:f>
              <c:strCache>
                <c:ptCount val="4"/>
                <c:pt idx="0">
                  <c:v>East</c:v>
                </c:pt>
                <c:pt idx="1">
                  <c:v>North</c:v>
                </c:pt>
                <c:pt idx="2">
                  <c:v>South</c:v>
                </c:pt>
                <c:pt idx="3">
                  <c:v>West</c:v>
                </c:pt>
              </c:strCache>
            </c:strRef>
          </c:cat>
          <c:val>
            <c:numRef>
              <c:f>Sheet4!$D$5:$D$9</c:f>
              <c:numCache>
                <c:formatCode>#,##0</c:formatCode>
                <c:ptCount val="4"/>
                <c:pt idx="0">
                  <c:v>45200</c:v>
                </c:pt>
                <c:pt idx="1">
                  <c:v>32550</c:v>
                </c:pt>
                <c:pt idx="2">
                  <c:v>22800</c:v>
                </c:pt>
                <c:pt idx="3">
                  <c:v>22000</c:v>
                </c:pt>
              </c:numCache>
            </c:numRef>
          </c:val>
          <c:extLst>
            <c:ext xmlns:c16="http://schemas.microsoft.com/office/drawing/2014/chart" uri="{C3380CC4-5D6E-409C-BE32-E72D297353CC}">
              <c16:uniqueId val="{00000002-ACFD-4C37-82F0-A34565586964}"/>
            </c:ext>
          </c:extLst>
        </c:ser>
        <c:dLbls>
          <c:showLegendKey val="0"/>
          <c:showVal val="0"/>
          <c:showCatName val="0"/>
          <c:showSerName val="0"/>
          <c:showPercent val="0"/>
          <c:showBubbleSize val="0"/>
        </c:dLbls>
        <c:gapWidth val="219"/>
        <c:overlap val="-27"/>
        <c:axId val="1604258543"/>
        <c:axId val="1119201007"/>
      </c:barChart>
      <c:catAx>
        <c:axId val="160425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01007"/>
        <c:crosses val="autoZero"/>
        <c:auto val="1"/>
        <c:lblAlgn val="ctr"/>
        <c:lblOffset val="100"/>
        <c:noMultiLvlLbl val="0"/>
      </c:catAx>
      <c:valAx>
        <c:axId val="1119201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25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[lab_11.xlsx]Sheet4!PivotTable3</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Appliances</c:v>
                </c:pt>
              </c:strCache>
            </c:strRef>
          </c:tx>
          <c:spPr>
            <a:ln w="28575" cap="rnd">
              <a:solidFill>
                <a:schemeClr val="accent1"/>
              </a:solidFill>
              <a:round/>
            </a:ln>
            <a:effectLst/>
          </c:spPr>
          <c:marker>
            <c:symbol val="none"/>
          </c:marker>
          <c:cat>
            <c:strRef>
              <c:f>Sheet4!$A$5:$A$9</c:f>
              <c:strCache>
                <c:ptCount val="4"/>
                <c:pt idx="0">
                  <c:v>East</c:v>
                </c:pt>
                <c:pt idx="1">
                  <c:v>North</c:v>
                </c:pt>
                <c:pt idx="2">
                  <c:v>South</c:v>
                </c:pt>
                <c:pt idx="3">
                  <c:v>West</c:v>
                </c:pt>
              </c:strCache>
            </c:strRef>
          </c:cat>
          <c:val>
            <c:numRef>
              <c:f>Sheet4!$B$5:$B$9</c:f>
              <c:numCache>
                <c:formatCode>#,##0</c:formatCode>
                <c:ptCount val="4"/>
                <c:pt idx="0">
                  <c:v>24640</c:v>
                </c:pt>
                <c:pt idx="1">
                  <c:v>39600</c:v>
                </c:pt>
                <c:pt idx="2">
                  <c:v>28500</c:v>
                </c:pt>
                <c:pt idx="3">
                  <c:v>36800</c:v>
                </c:pt>
              </c:numCache>
            </c:numRef>
          </c:val>
          <c:smooth val="0"/>
          <c:extLst>
            <c:ext xmlns:c16="http://schemas.microsoft.com/office/drawing/2014/chart" uri="{C3380CC4-5D6E-409C-BE32-E72D297353CC}">
              <c16:uniqueId val="{00000000-B6B3-4B49-BE7E-CCAAADC90B93}"/>
            </c:ext>
          </c:extLst>
        </c:ser>
        <c:ser>
          <c:idx val="1"/>
          <c:order val="1"/>
          <c:tx>
            <c:strRef>
              <c:f>Sheet4!$C$3:$C$4</c:f>
              <c:strCache>
                <c:ptCount val="1"/>
                <c:pt idx="0">
                  <c:v>Electronics</c:v>
                </c:pt>
              </c:strCache>
            </c:strRef>
          </c:tx>
          <c:spPr>
            <a:ln w="28575" cap="rnd">
              <a:solidFill>
                <a:schemeClr val="accent2"/>
              </a:solidFill>
              <a:round/>
            </a:ln>
            <a:effectLst/>
          </c:spPr>
          <c:marker>
            <c:symbol val="none"/>
          </c:marker>
          <c:cat>
            <c:strRef>
              <c:f>Sheet4!$A$5:$A$9</c:f>
              <c:strCache>
                <c:ptCount val="4"/>
                <c:pt idx="0">
                  <c:v>East</c:v>
                </c:pt>
                <c:pt idx="1">
                  <c:v>North</c:v>
                </c:pt>
                <c:pt idx="2">
                  <c:v>South</c:v>
                </c:pt>
                <c:pt idx="3">
                  <c:v>West</c:v>
                </c:pt>
              </c:strCache>
            </c:strRef>
          </c:cat>
          <c:val>
            <c:numRef>
              <c:f>Sheet4!$C$5:$C$9</c:f>
              <c:numCache>
                <c:formatCode>#,##0</c:formatCode>
                <c:ptCount val="4"/>
                <c:pt idx="0">
                  <c:v>64800</c:v>
                </c:pt>
                <c:pt idx="1">
                  <c:v>113000</c:v>
                </c:pt>
                <c:pt idx="2">
                  <c:v>82800</c:v>
                </c:pt>
                <c:pt idx="3">
                  <c:v>16200</c:v>
                </c:pt>
              </c:numCache>
            </c:numRef>
          </c:val>
          <c:smooth val="0"/>
          <c:extLst>
            <c:ext xmlns:c16="http://schemas.microsoft.com/office/drawing/2014/chart" uri="{C3380CC4-5D6E-409C-BE32-E72D297353CC}">
              <c16:uniqueId val="{00000001-B6B3-4B49-BE7E-CCAAADC90B93}"/>
            </c:ext>
          </c:extLst>
        </c:ser>
        <c:ser>
          <c:idx val="2"/>
          <c:order val="2"/>
          <c:tx>
            <c:strRef>
              <c:f>Sheet4!$D$3:$D$4</c:f>
              <c:strCache>
                <c:ptCount val="1"/>
                <c:pt idx="0">
                  <c:v>Furniture</c:v>
                </c:pt>
              </c:strCache>
            </c:strRef>
          </c:tx>
          <c:spPr>
            <a:ln w="28575" cap="rnd">
              <a:solidFill>
                <a:schemeClr val="accent3"/>
              </a:solidFill>
              <a:round/>
            </a:ln>
            <a:effectLst/>
          </c:spPr>
          <c:marker>
            <c:symbol val="none"/>
          </c:marker>
          <c:cat>
            <c:strRef>
              <c:f>Sheet4!$A$5:$A$9</c:f>
              <c:strCache>
                <c:ptCount val="4"/>
                <c:pt idx="0">
                  <c:v>East</c:v>
                </c:pt>
                <c:pt idx="1">
                  <c:v>North</c:v>
                </c:pt>
                <c:pt idx="2">
                  <c:v>South</c:v>
                </c:pt>
                <c:pt idx="3">
                  <c:v>West</c:v>
                </c:pt>
              </c:strCache>
            </c:strRef>
          </c:cat>
          <c:val>
            <c:numRef>
              <c:f>Sheet4!$D$5:$D$9</c:f>
              <c:numCache>
                <c:formatCode>#,##0</c:formatCode>
                <c:ptCount val="4"/>
                <c:pt idx="0">
                  <c:v>45200</c:v>
                </c:pt>
                <c:pt idx="1">
                  <c:v>32550</c:v>
                </c:pt>
                <c:pt idx="2">
                  <c:v>22800</c:v>
                </c:pt>
                <c:pt idx="3">
                  <c:v>22000</c:v>
                </c:pt>
              </c:numCache>
            </c:numRef>
          </c:val>
          <c:smooth val="0"/>
          <c:extLst>
            <c:ext xmlns:c16="http://schemas.microsoft.com/office/drawing/2014/chart" uri="{C3380CC4-5D6E-409C-BE32-E72D297353CC}">
              <c16:uniqueId val="{00000002-B6B3-4B49-BE7E-CCAAADC90B93}"/>
            </c:ext>
          </c:extLst>
        </c:ser>
        <c:dLbls>
          <c:showLegendKey val="0"/>
          <c:showVal val="0"/>
          <c:showCatName val="0"/>
          <c:showSerName val="0"/>
          <c:showPercent val="0"/>
          <c:showBubbleSize val="0"/>
        </c:dLbls>
        <c:smooth val="0"/>
        <c:axId val="1610471007"/>
        <c:axId val="1119123727"/>
      </c:lineChart>
      <c:catAx>
        <c:axId val="16104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23727"/>
        <c:crosses val="autoZero"/>
        <c:auto val="1"/>
        <c:lblAlgn val="ctr"/>
        <c:lblOffset val="100"/>
        <c:noMultiLvlLbl val="0"/>
      </c:catAx>
      <c:valAx>
        <c:axId val="1119123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47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[lab_11.xlsx]Sheet4!PivotTable5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Sheet4!$C$52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Sheet4!$B$53:$B$68</c:f>
              <c:strCache>
                <c:ptCount val="15"/>
                <c:pt idx="0">
                  <c:v>Air Conditioner</c:v>
                </c:pt>
                <c:pt idx="1">
                  <c:v>Bluetooth Speaker</c:v>
                </c:pt>
                <c:pt idx="2">
                  <c:v>Bookshelf</c:v>
                </c:pt>
                <c:pt idx="3">
                  <c:v>Dining Table</c:v>
                </c:pt>
                <c:pt idx="4">
                  <c:v>Headphones</c:v>
                </c:pt>
                <c:pt idx="5">
                  <c:v>Laptop</c:v>
                </c:pt>
                <c:pt idx="6">
                  <c:v>Microwave Oven</c:v>
                </c:pt>
                <c:pt idx="7">
                  <c:v>Mobile Phone</c:v>
                </c:pt>
                <c:pt idx="8">
                  <c:v>Office Chair</c:v>
                </c:pt>
                <c:pt idx="9">
                  <c:v>Refrigerator</c:v>
                </c:pt>
                <c:pt idx="10">
                  <c:v>Smartwatch</c:v>
                </c:pt>
                <c:pt idx="11">
                  <c:v>Sofa Set</c:v>
                </c:pt>
                <c:pt idx="12">
                  <c:v>Study Table</c:v>
                </c:pt>
                <c:pt idx="13">
                  <c:v>Tablet</c:v>
                </c:pt>
                <c:pt idx="14">
                  <c:v>Washing Machine</c:v>
                </c:pt>
              </c:strCache>
            </c:strRef>
          </c:cat>
          <c:val>
            <c:numRef>
              <c:f>Sheet4!$C$53:$C$68</c:f>
              <c:numCache>
                <c:formatCode>#,##0</c:formatCode>
                <c:ptCount val="15"/>
                <c:pt idx="0">
                  <c:v>39600</c:v>
                </c:pt>
                <c:pt idx="1">
                  <c:v>15300</c:v>
                </c:pt>
                <c:pt idx="2">
                  <c:v>15200</c:v>
                </c:pt>
                <c:pt idx="3">
                  <c:v>22000</c:v>
                </c:pt>
                <c:pt idx="4">
                  <c:v>8500</c:v>
                </c:pt>
                <c:pt idx="5">
                  <c:v>104500</c:v>
                </c:pt>
                <c:pt idx="6">
                  <c:v>28500</c:v>
                </c:pt>
                <c:pt idx="7">
                  <c:v>67500</c:v>
                </c:pt>
                <c:pt idx="8">
                  <c:v>30000</c:v>
                </c:pt>
                <c:pt idx="9">
                  <c:v>36800</c:v>
                </c:pt>
                <c:pt idx="10">
                  <c:v>16200</c:v>
                </c:pt>
                <c:pt idx="11">
                  <c:v>32550</c:v>
                </c:pt>
                <c:pt idx="12">
                  <c:v>22800</c:v>
                </c:pt>
                <c:pt idx="13">
                  <c:v>64800</c:v>
                </c:pt>
                <c:pt idx="14">
                  <c:v>24640</c:v>
                </c:pt>
              </c:numCache>
            </c:numRef>
          </c:val>
          <c:extLst>
            <c:ext xmlns:c16="http://schemas.microsoft.com/office/drawing/2014/chart" uri="{C3380CC4-5D6E-409C-BE32-E72D297353CC}">
              <c16:uniqueId val="{00000000-2889-45B1-9325-55318BAC85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314325</xdr:colOff>
      <xdr:row>1</xdr:row>
      <xdr:rowOff>171450</xdr:rowOff>
    </xdr:from>
    <xdr:to>
      <xdr:col>8</xdr:col>
      <xdr:colOff>647700</xdr:colOff>
      <xdr:row>13</xdr:row>
      <xdr:rowOff>38100</xdr:rowOff>
    </xdr:to>
    <xdr:graphicFrame macro="">
      <xdr:nvGraphicFramePr>
        <xdr:cNvPr id="2" name="Chart 1">
          <a:extLst>
            <a:ext uri="{FF2B5EF4-FFF2-40B4-BE49-F238E27FC236}">
              <a16:creationId xmlns:a16="http://schemas.microsoft.com/office/drawing/2014/main" id="{B5190B86-6009-FB07-8A2C-E1D31D4EF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866775</xdr:colOff>
      <xdr:row>34</xdr:row>
      <xdr:rowOff>171450</xdr:rowOff>
    </xdr:from>
    <xdr:to>
      <xdr:col>4</xdr:col>
      <xdr:colOff>768350</xdr:colOff>
      <xdr:row>49</xdr:row>
      <xdr:rowOff>44450</xdr:rowOff>
    </xdr:to>
    <xdr:graphicFrame macro="">
      <xdr:nvGraphicFramePr>
        <xdr:cNvPr id="3" name="Chart 2">
          <a:extLst>
            <a:ext uri="{FF2B5EF4-FFF2-40B4-BE49-F238E27FC236}">
              <a16:creationId xmlns:a16="http://schemas.microsoft.com/office/drawing/2014/main" id="{3A4D161D-BF91-2F19-AE17-3E96AC214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930275</xdr:colOff>
      <xdr:row>51</xdr:row>
      <xdr:rowOff>6350</xdr:rowOff>
    </xdr:from>
    <xdr:to>
      <xdr:col>7</xdr:col>
      <xdr:colOff>663575</xdr:colOff>
      <xdr:row>65</xdr:row>
      <xdr:rowOff>171450</xdr:rowOff>
    </xdr:to>
    <xdr:graphicFrame macro="">
      <xdr:nvGraphicFramePr>
        <xdr:cNvPr id="4" name="Chart 3">
          <a:extLst>
            <a:ext uri="{FF2B5EF4-FFF2-40B4-BE49-F238E27FC236}">
              <a16:creationId xmlns:a16="http://schemas.microsoft.com/office/drawing/2014/main" id="{733839A7-9BA9-485A-7371-57ECBA840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996950</xdr:colOff>
      <xdr:row>51</xdr:row>
      <xdr:rowOff>19050</xdr:rowOff>
    </xdr:from>
    <xdr:to>
      <xdr:col>8</xdr:col>
      <xdr:colOff>812800</xdr:colOff>
      <xdr:row>61</xdr:row>
      <xdr:rowOff>88900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E7E6E21-E9F9-3090-9305-7123F7DE39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21650" y="9410700"/>
              <a:ext cx="1238250" cy="1911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977900</xdr:colOff>
      <xdr:row>62</xdr:row>
      <xdr:rowOff>114300</xdr:rowOff>
    </xdr:from>
    <xdr:to>
      <xdr:col>9</xdr:col>
      <xdr:colOff>107950</xdr:colOff>
      <xdr:row>71</xdr:row>
      <xdr:rowOff>12700</xdr:rowOff>
    </xdr:to>
    <mc:AlternateContent xmlns:mc="http://schemas.openxmlformats.org/markup-compatibility/2006">
      <mc:Choice xmlns:a14="http://schemas.microsoft.com/office/drawing/2010/main" Requires="a14">
        <xdr:graphicFrame macro="">
          <xdr:nvGraphicFramePr>
            <xdr:cNvPr id="6" name="Payment Mode">
              <a:extLst>
                <a:ext uri="{FF2B5EF4-FFF2-40B4-BE49-F238E27FC236}">
                  <a16:creationId xmlns:a16="http://schemas.microsoft.com/office/drawing/2014/main" id="{1FCDB980-3F4A-887C-C821-76CAA170543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8102600" y="11531600"/>
              <a:ext cx="1549400" cy="155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361950</xdr:colOff>
      <xdr:row>35</xdr:row>
      <xdr:rowOff>12700</xdr:rowOff>
    </xdr:from>
    <xdr:to>
      <xdr:col>6</xdr:col>
      <xdr:colOff>768350</xdr:colOff>
      <xdr:row>42</xdr:row>
      <xdr:rowOff>57150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1EABA571-E8F8-FB84-6853-FD151C98A9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67300" y="6457950"/>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63500</xdr:colOff>
      <xdr:row>35</xdr:row>
      <xdr:rowOff>19050</xdr:rowOff>
    </xdr:from>
    <xdr:to>
      <xdr:col>8</xdr:col>
      <xdr:colOff>469900</xdr:colOff>
      <xdr:row>43</xdr:row>
      <xdr:rowOff>133350</xdr:rowOff>
    </xdr:to>
    <mc:AlternateContent xmlns:mc="http://schemas.openxmlformats.org/markup-compatibility/2006">
      <mc:Choice xmlns:a14="http://schemas.microsoft.com/office/drawing/2010/main" Requires="a14">
        <xdr:graphicFrame macro="">
          <xdr:nvGraphicFramePr>
            <xdr:cNvPr id="8" name="Payment Mode 1">
              <a:extLst>
                <a:ext uri="{FF2B5EF4-FFF2-40B4-BE49-F238E27FC236}">
                  <a16:creationId xmlns:a16="http://schemas.microsoft.com/office/drawing/2014/main" id="{A14FC378-5929-7225-E918-37487516A187}"/>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7188200" y="6464300"/>
              <a:ext cx="1828800"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920750</xdr:colOff>
      <xdr:row>1</xdr:row>
      <xdr:rowOff>120650</xdr:rowOff>
    </xdr:from>
    <xdr:to>
      <xdr:col>9</xdr:col>
      <xdr:colOff>1314450</xdr:colOff>
      <xdr:row>13</xdr:row>
      <xdr:rowOff>31750</xdr:rowOff>
    </xdr:to>
    <mc:AlternateContent xmlns:mc="http://schemas.openxmlformats.org/markup-compatibility/2006">
      <mc:Choice xmlns:a14="http://schemas.microsoft.com/office/drawing/2010/main" Requires="a14">
        <xdr:graphicFrame macro="">
          <xdr:nvGraphicFramePr>
            <xdr:cNvPr id="9" name="Quantity">
              <a:extLst>
                <a:ext uri="{FF2B5EF4-FFF2-40B4-BE49-F238E27FC236}">
                  <a16:creationId xmlns:a16="http://schemas.microsoft.com/office/drawing/2014/main" id="{BB504235-E1A3-5361-4233-56131D1658E4}"/>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9467850" y="304800"/>
              <a:ext cx="1390650" cy="2120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1498600</xdr:colOff>
      <xdr:row>1</xdr:row>
      <xdr:rowOff>133350</xdr:rowOff>
    </xdr:from>
    <xdr:to>
      <xdr:col>10</xdr:col>
      <xdr:colOff>1257300</xdr:colOff>
      <xdr:row>10</xdr:row>
      <xdr:rowOff>19050</xdr:rowOff>
    </xdr:to>
    <mc:AlternateContent xmlns:mc="http://schemas.openxmlformats.org/markup-compatibility/2006">
      <mc:Choice xmlns:a14="http://schemas.microsoft.com/office/drawing/2010/main" Requires="a14">
        <xdr:graphicFrame macro="">
          <xdr:nvGraphicFramePr>
            <xdr:cNvPr id="10" name="Payment Mode 2">
              <a:extLst>
                <a:ext uri="{FF2B5EF4-FFF2-40B4-BE49-F238E27FC236}">
                  <a16:creationId xmlns:a16="http://schemas.microsoft.com/office/drawing/2014/main" id="{7579E226-8707-DE8C-57E8-C7F3736CA820}"/>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dr:sp macro="" textlink="">
          <xdr:nvSpPr>
            <xdr:cNvPr id="0" name=""/>
            <xdr:cNvSpPr>
              <a:spLocks noTextEdit="1"/>
            </xdr:cNvSpPr>
          </xdr:nvSpPr>
          <xdr:spPr>
            <a:xfrm>
              <a:off x="11042650" y="317500"/>
              <a:ext cx="149860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na" refreshedDate="46254.530794907405" createdVersion="8" refreshedVersion="8" minRefreshableVersion="3" recordCount="15" xr:uid="{7834CD84-2410-4F1C-8F64-F1928EDD835A}">
  <cacheSource type="worksheet">
    <worksheetSource ref="A1:I16" sheet="Sheet1"/>
  </cacheSource>
  <cacheFields count="9">
    <cacheField name="Order ID" numFmtId="0">
      <sharedItems/>
    </cacheField>
    <cacheField name="Region" numFmtId="0">
      <sharedItems count="4">
        <s v="North"/>
        <s v="South"/>
        <s v="East"/>
        <s v="West"/>
      </sharedItems>
    </cacheField>
    <cacheField name="Name" numFmtId="0">
      <sharedItems/>
    </cacheField>
    <cacheField name="Product" numFmtId="0">
      <sharedItems count="15">
        <s v="Laptop"/>
        <s v="Mobile Phone"/>
        <s v="Office Chair"/>
        <s v="Refrigerator"/>
        <s v="Headphones"/>
        <s v="Study Table"/>
        <s v="Washing Machine"/>
        <s v="Smartwatch"/>
        <s v="Sofa Set"/>
        <s v="Microwave Oven"/>
        <s v="Tablet"/>
        <s v="Dining Table"/>
        <s v="Air Conditioner"/>
        <s v="Bluetooth Speaker"/>
        <s v="Bookshelf"/>
      </sharedItems>
    </cacheField>
    <cacheField name="Category" numFmtId="0">
      <sharedItems count="3">
        <s v="Electronics"/>
        <s v="Furniture"/>
        <s v="Appliances"/>
      </sharedItems>
    </cacheField>
    <cacheField name="Quantity" numFmtId="0">
      <sharedItems containsSemiMixedTypes="0" containsString="0" containsNumber="1" containsInteger="1" minValue="1" maxValue="6" count="6">
        <n v="2"/>
        <n v="3"/>
        <n v="4"/>
        <n v="1"/>
        <n v="5"/>
        <n v="6"/>
      </sharedItems>
    </cacheField>
    <cacheField name="Sale Price" numFmtId="3">
      <sharedItems containsSemiMixedTypes="0" containsString="0" containsNumber="1" containsInteger="1" minValue="2000" maxValue="55000"/>
    </cacheField>
    <cacheField name="Total Sale Value" numFmtId="3">
      <sharedItems containsSemiMixedTypes="0" containsString="0" containsNumber="1" containsInteger="1" minValue="8500" maxValue="104500"/>
    </cacheField>
    <cacheField name="Payment Mode" numFmtId="0">
      <sharedItems count="4">
        <s v="Credit Card"/>
        <s v="UPI"/>
        <s v="Cash"/>
        <s v="Debit Card"/>
      </sharedItems>
    </cacheField>
  </cacheFields>
  <extLst>
    <ext xmlns:x14="http://schemas.microsoft.com/office/spreadsheetml/2009/9/main" uri="{725AE2AE-9491-48be-B2B4-4EB974FC3084}">
      <x14:pivotCacheDefinition pivotCacheId="2087840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RD001"/>
    <x v="0"/>
    <s v="Aditi Sharma"/>
    <x v="0"/>
    <x v="0"/>
    <x v="0"/>
    <n v="55000"/>
    <n v="104500"/>
    <x v="0"/>
  </r>
  <r>
    <s v="ORD002"/>
    <x v="1"/>
    <s v="Rahul Mehta"/>
    <x v="1"/>
    <x v="0"/>
    <x v="1"/>
    <n v="25000"/>
    <n v="67500"/>
    <x v="1"/>
  </r>
  <r>
    <s v="ORD003"/>
    <x v="2"/>
    <s v="Priya Patel"/>
    <x v="2"/>
    <x v="1"/>
    <x v="2"/>
    <n v="7500"/>
    <n v="30000"/>
    <x v="2"/>
  </r>
  <r>
    <s v="ORD004"/>
    <x v="3"/>
    <s v="Karan Joshi"/>
    <x v="3"/>
    <x v="2"/>
    <x v="3"/>
    <n v="40000"/>
    <n v="36800"/>
    <x v="3"/>
  </r>
  <r>
    <s v="ORD005"/>
    <x v="0"/>
    <s v="Sneha Desai"/>
    <x v="4"/>
    <x v="0"/>
    <x v="4"/>
    <n v="2000"/>
    <n v="8500"/>
    <x v="1"/>
  </r>
  <r>
    <s v="ORD006"/>
    <x v="1"/>
    <s v="Vivek Shah"/>
    <x v="5"/>
    <x v="1"/>
    <x v="0"/>
    <n v="12000"/>
    <n v="22800"/>
    <x v="0"/>
  </r>
  <r>
    <s v="ORD007"/>
    <x v="2"/>
    <s v="Neha Singh"/>
    <x v="6"/>
    <x v="2"/>
    <x v="3"/>
    <n v="28000"/>
    <n v="24640"/>
    <x v="3"/>
  </r>
  <r>
    <s v="ORD008"/>
    <x v="3"/>
    <s v="Arjun Kumar"/>
    <x v="7"/>
    <x v="0"/>
    <x v="1"/>
    <n v="6000"/>
    <n v="16200"/>
    <x v="1"/>
  </r>
  <r>
    <s v="ORD009"/>
    <x v="0"/>
    <s v="Meera Iyer"/>
    <x v="8"/>
    <x v="1"/>
    <x v="3"/>
    <n v="35000"/>
    <n v="32550"/>
    <x v="0"/>
  </r>
  <r>
    <s v="ORD010"/>
    <x v="1"/>
    <s v="Rohan Gupta"/>
    <x v="9"/>
    <x v="2"/>
    <x v="0"/>
    <n v="15000"/>
    <n v="28500"/>
    <x v="2"/>
  </r>
  <r>
    <s v="ORD011"/>
    <x v="2"/>
    <s v="Anjali Nair"/>
    <x v="10"/>
    <x v="0"/>
    <x v="2"/>
    <n v="18000"/>
    <n v="64800"/>
    <x v="3"/>
  </r>
  <r>
    <s v="ORD012"/>
    <x v="3"/>
    <s v="Dev Patel"/>
    <x v="11"/>
    <x v="1"/>
    <x v="3"/>
    <n v="22000"/>
    <n v="22000"/>
    <x v="0"/>
  </r>
  <r>
    <s v="ORD013"/>
    <x v="0"/>
    <s v="Pooja Verma"/>
    <x v="12"/>
    <x v="2"/>
    <x v="3"/>
    <n v="45000"/>
    <n v="39600"/>
    <x v="1"/>
  </r>
  <r>
    <s v="ORD014"/>
    <x v="1"/>
    <s v="Sameer Khan"/>
    <x v="13"/>
    <x v="0"/>
    <x v="5"/>
    <n v="3000"/>
    <n v="15300"/>
    <x v="3"/>
  </r>
  <r>
    <s v="ORD015"/>
    <x v="2"/>
    <s v="Tanya Roy"/>
    <x v="14"/>
    <x v="1"/>
    <x v="0"/>
    <n v="8000"/>
    <n v="152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EE350A-4B78-4B2E-B6F8-72B96F6785EB}"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2:C68" firstHeaderRow="1" firstDataRow="1" firstDataCol="1"/>
  <pivotFields count="9">
    <pivotField showAll="0"/>
    <pivotField showAll="0">
      <items count="5">
        <item x="2"/>
        <item x="0"/>
        <item x="1"/>
        <item x="3"/>
        <item t="default"/>
      </items>
    </pivotField>
    <pivotField showAll="0"/>
    <pivotField axis="axisRow" showAll="0">
      <items count="16">
        <item x="12"/>
        <item x="13"/>
        <item x="14"/>
        <item x="11"/>
        <item x="4"/>
        <item x="0"/>
        <item x="9"/>
        <item x="1"/>
        <item x="2"/>
        <item x="3"/>
        <item x="7"/>
        <item x="8"/>
        <item x="5"/>
        <item x="10"/>
        <item x="6"/>
        <item t="default"/>
      </items>
    </pivotField>
    <pivotField showAll="0"/>
    <pivotField showAll="0"/>
    <pivotField numFmtId="3" showAll="0"/>
    <pivotField dataField="1" numFmtId="3" showAll="0"/>
    <pivotField showAll="0">
      <items count="5">
        <item x="2"/>
        <item x="0"/>
        <item x="3"/>
        <item x="1"/>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Total Sale Value" fld="7" baseField="0" baseItem="0" numFmtId="3"/>
  </dataFields>
  <formats count="12">
    <format dxfId="211">
      <pivotArea type="all" dataOnly="0" outline="0" fieldPosition="0"/>
    </format>
    <format dxfId="210">
      <pivotArea outline="0" collapsedLevelsAreSubtotals="1" fieldPosition="0"/>
    </format>
    <format dxfId="209">
      <pivotArea field="3" type="button" dataOnly="0" labelOnly="1" outline="0" axis="axisRow" fieldPosition="0"/>
    </format>
    <format dxfId="208">
      <pivotArea dataOnly="0" labelOnly="1" fieldPosition="0">
        <references count="1">
          <reference field="3" count="0"/>
        </references>
      </pivotArea>
    </format>
    <format dxfId="207">
      <pivotArea dataOnly="0" labelOnly="1" grandRow="1" outline="0" fieldPosition="0"/>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3" type="button" dataOnly="0" labelOnly="1" outline="0" axis="axisRow" fieldPosition="0"/>
    </format>
    <format dxfId="202">
      <pivotArea dataOnly="0" labelOnly="1" fieldPosition="0">
        <references count="1">
          <reference field="3" count="0"/>
        </references>
      </pivotArea>
    </format>
    <format dxfId="201">
      <pivotArea dataOnly="0" labelOnly="1" grandRow="1" outline="0" fieldPosition="0"/>
    </format>
    <format dxfId="20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0A82ED-7B59-4230-BAA6-7764978A8BC2}"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K34" firstHeaderRow="1" firstDataRow="3" firstDataCol="1"/>
  <pivotFields count="9">
    <pivotField showAll="0"/>
    <pivotField axis="axisCol" showAll="0">
      <items count="5">
        <item x="2"/>
        <item x="0"/>
        <item x="1"/>
        <item x="3"/>
        <item t="default"/>
      </items>
    </pivotField>
    <pivotField showAll="0"/>
    <pivotField axis="axisRow" showAll="0">
      <items count="16">
        <item x="12"/>
        <item x="13"/>
        <item x="14"/>
        <item x="11"/>
        <item x="4"/>
        <item x="0"/>
        <item x="9"/>
        <item x="1"/>
        <item x="2"/>
        <item x="3"/>
        <item x="7"/>
        <item x="8"/>
        <item x="5"/>
        <item x="10"/>
        <item x="6"/>
        <item t="default"/>
      </items>
    </pivotField>
    <pivotField showAll="0"/>
    <pivotField dataField="1" showAll="0"/>
    <pivotField numFmtId="3" showAll="0"/>
    <pivotField dataField="1" numFmtId="3" showAll="0"/>
    <pivotField showAll="0"/>
  </pivotFields>
  <rowFields count="1">
    <field x="3"/>
  </rowFields>
  <rowItems count="16">
    <i>
      <x/>
    </i>
    <i>
      <x v="1"/>
    </i>
    <i>
      <x v="2"/>
    </i>
    <i>
      <x v="3"/>
    </i>
    <i>
      <x v="4"/>
    </i>
    <i>
      <x v="5"/>
    </i>
    <i>
      <x v="6"/>
    </i>
    <i>
      <x v="7"/>
    </i>
    <i>
      <x v="8"/>
    </i>
    <i>
      <x v="9"/>
    </i>
    <i>
      <x v="10"/>
    </i>
    <i>
      <x v="11"/>
    </i>
    <i>
      <x v="12"/>
    </i>
    <i>
      <x v="13"/>
    </i>
    <i>
      <x v="14"/>
    </i>
    <i t="grand">
      <x/>
    </i>
  </rowItems>
  <colFields count="2">
    <field x="1"/>
    <field x="-2"/>
  </colFields>
  <colItems count="10">
    <i>
      <x/>
      <x/>
    </i>
    <i r="1" i="1">
      <x v="1"/>
    </i>
    <i>
      <x v="1"/>
      <x/>
    </i>
    <i r="1" i="1">
      <x v="1"/>
    </i>
    <i>
      <x v="2"/>
      <x/>
    </i>
    <i r="1" i="1">
      <x v="1"/>
    </i>
    <i>
      <x v="3"/>
      <x/>
    </i>
    <i r="1" i="1">
      <x v="1"/>
    </i>
    <i t="grand">
      <x/>
    </i>
    <i t="grand" i="1">
      <x/>
    </i>
  </colItems>
  <dataFields count="2">
    <dataField name="Sum of Total Sale Value" fld="7" baseField="0" baseItem="0" numFmtId="3"/>
    <dataField name="Sum of Quantity" fld="5" baseField="0" baseItem="0"/>
  </dataFields>
  <formats count="32">
    <format dxfId="199">
      <pivotArea type="all" dataOnly="0" outline="0" fieldPosition="0"/>
    </format>
    <format dxfId="198">
      <pivotArea outline="0" collapsedLevelsAreSubtotals="1" fieldPosition="0"/>
    </format>
    <format dxfId="197">
      <pivotArea type="origin" dataOnly="0" labelOnly="1" outline="0" fieldPosition="0"/>
    </format>
    <format dxfId="196">
      <pivotArea field="1" type="button" dataOnly="0" labelOnly="1" outline="0" axis="axisCol" fieldPosition="0"/>
    </format>
    <format dxfId="195">
      <pivotArea field="-2" type="button" dataOnly="0" labelOnly="1" outline="0" axis="axisCol" fieldPosition="1"/>
    </format>
    <format dxfId="194">
      <pivotArea type="topRight" dataOnly="0" labelOnly="1" outline="0" fieldPosition="0"/>
    </format>
    <format dxfId="193">
      <pivotArea field="3" type="button" dataOnly="0" labelOnly="1" outline="0" axis="axisRow" fieldPosition="0"/>
    </format>
    <format dxfId="192">
      <pivotArea dataOnly="0" labelOnly="1" fieldPosition="0">
        <references count="1">
          <reference field="3" count="0"/>
        </references>
      </pivotArea>
    </format>
    <format dxfId="191">
      <pivotArea dataOnly="0" labelOnly="1" grandRow="1" outline="0" fieldPosition="0"/>
    </format>
    <format dxfId="190">
      <pivotArea dataOnly="0" labelOnly="1" fieldPosition="0">
        <references count="1">
          <reference field="1" count="0"/>
        </references>
      </pivotArea>
    </format>
    <format dxfId="189">
      <pivotArea field="1" dataOnly="0" labelOnly="1" grandCol="1" outline="0" axis="axisCol" fieldPosition="0">
        <references count="1">
          <reference field="4294967294" count="1" selected="0">
            <x v="0"/>
          </reference>
        </references>
      </pivotArea>
    </format>
    <format dxfId="187">
      <pivotArea field="1" dataOnly="0" labelOnly="1" grandCol="1" outline="0" axis="axisCol" fieldPosition="0">
        <references count="1">
          <reference field="4294967294" count="1" selected="0">
            <x v="1"/>
          </reference>
        </references>
      </pivotArea>
    </format>
    <format dxfId="185">
      <pivotArea dataOnly="0" labelOnly="1" outline="0" fieldPosition="0">
        <references count="2">
          <reference field="4294967294" count="2">
            <x v="0"/>
            <x v="1"/>
          </reference>
          <reference field="1" count="1" selected="0">
            <x v="0"/>
          </reference>
        </references>
      </pivotArea>
    </format>
    <format dxfId="184">
      <pivotArea dataOnly="0" labelOnly="1" outline="0" fieldPosition="0">
        <references count="2">
          <reference field="4294967294" count="2">
            <x v="0"/>
            <x v="1"/>
          </reference>
          <reference field="1" count="1" selected="0">
            <x v="1"/>
          </reference>
        </references>
      </pivotArea>
    </format>
    <format dxfId="183">
      <pivotArea dataOnly="0" labelOnly="1" outline="0" fieldPosition="0">
        <references count="2">
          <reference field="4294967294" count="2">
            <x v="0"/>
            <x v="1"/>
          </reference>
          <reference field="1" count="1" selected="0">
            <x v="2"/>
          </reference>
        </references>
      </pivotArea>
    </format>
    <format dxfId="182">
      <pivotArea dataOnly="0" labelOnly="1" outline="0" fieldPosition="0">
        <references count="2">
          <reference field="4294967294" count="2">
            <x v="0"/>
            <x v="1"/>
          </reference>
          <reference field="1" count="1" selected="0">
            <x v="3"/>
          </reference>
        </references>
      </pivotArea>
    </format>
    <format dxfId="181">
      <pivotArea type="all" dataOnly="0" outline="0" fieldPosition="0"/>
    </format>
    <format dxfId="180">
      <pivotArea outline="0" collapsedLevelsAreSubtotals="1" fieldPosition="0"/>
    </format>
    <format dxfId="179">
      <pivotArea type="origin" dataOnly="0" labelOnly="1" outline="0" fieldPosition="0"/>
    </format>
    <format dxfId="178">
      <pivotArea field="1" type="button" dataOnly="0" labelOnly="1" outline="0" axis="axisCol" fieldPosition="0"/>
    </format>
    <format dxfId="177">
      <pivotArea field="-2" type="button" dataOnly="0" labelOnly="1" outline="0" axis="axisCol" fieldPosition="1"/>
    </format>
    <format dxfId="176">
      <pivotArea type="topRight" dataOnly="0" labelOnly="1" outline="0" fieldPosition="0"/>
    </format>
    <format dxfId="175">
      <pivotArea field="3" type="button" dataOnly="0" labelOnly="1" outline="0" axis="axisRow" fieldPosition="0"/>
    </format>
    <format dxfId="174">
      <pivotArea dataOnly="0" labelOnly="1" fieldPosition="0">
        <references count="1">
          <reference field="3" count="0"/>
        </references>
      </pivotArea>
    </format>
    <format dxfId="173">
      <pivotArea dataOnly="0" labelOnly="1" grandRow="1" outline="0" fieldPosition="0"/>
    </format>
    <format dxfId="172">
      <pivotArea dataOnly="0" labelOnly="1" fieldPosition="0">
        <references count="1">
          <reference field="1" count="0"/>
        </references>
      </pivotArea>
    </format>
    <format dxfId="171">
      <pivotArea field="1" dataOnly="0" labelOnly="1" grandCol="1" outline="0" axis="axisCol" fieldPosition="0">
        <references count="1">
          <reference field="4294967294" count="1" selected="0">
            <x v="0"/>
          </reference>
        </references>
      </pivotArea>
    </format>
    <format dxfId="169">
      <pivotArea field="1" dataOnly="0" labelOnly="1" grandCol="1" outline="0" axis="axisCol" fieldPosition="0">
        <references count="1">
          <reference field="4294967294" count="1" selected="0">
            <x v="1"/>
          </reference>
        </references>
      </pivotArea>
    </format>
    <format dxfId="167">
      <pivotArea dataOnly="0" labelOnly="1" outline="0" fieldPosition="0">
        <references count="2">
          <reference field="4294967294" count="2">
            <x v="0"/>
            <x v="1"/>
          </reference>
          <reference field="1" count="1" selected="0">
            <x v="0"/>
          </reference>
        </references>
      </pivotArea>
    </format>
    <format dxfId="166">
      <pivotArea dataOnly="0" labelOnly="1" outline="0" fieldPosition="0">
        <references count="2">
          <reference field="4294967294" count="2">
            <x v="0"/>
            <x v="1"/>
          </reference>
          <reference field="1" count="1" selected="0">
            <x v="1"/>
          </reference>
        </references>
      </pivotArea>
    </format>
    <format dxfId="165">
      <pivotArea dataOnly="0" labelOnly="1" outline="0" fieldPosition="0">
        <references count="2">
          <reference field="4294967294" count="2">
            <x v="0"/>
            <x v="1"/>
          </reference>
          <reference field="1" count="1" selected="0">
            <x v="2"/>
          </reference>
        </references>
      </pivotArea>
    </format>
    <format dxfId="164">
      <pivotArea dataOnly="0" labelOnly="1" outline="0" fieldPosition="0">
        <references count="2">
          <reference field="4294967294" count="2">
            <x v="0"/>
            <x v="1"/>
          </reference>
          <reference field="1"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8E467B-2856-4AC2-B5A0-EED94B2A1C5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 firstHeaderRow="1" firstDataRow="2" firstDataCol="1"/>
  <pivotFields count="9">
    <pivotField showAll="0"/>
    <pivotField axis="axisRow" showAll="0">
      <items count="5">
        <item x="2"/>
        <item x="0"/>
        <item x="1"/>
        <item x="3"/>
        <item t="default"/>
      </items>
    </pivotField>
    <pivotField showAll="0"/>
    <pivotField showAll="0"/>
    <pivotField axis="axisCol" showAll="0">
      <items count="4">
        <item x="2"/>
        <item x="0"/>
        <item x="1"/>
        <item t="default"/>
      </items>
    </pivotField>
    <pivotField showAll="0">
      <items count="7">
        <item x="3"/>
        <item x="0"/>
        <item x="1"/>
        <item x="2"/>
        <item x="4"/>
        <item x="5"/>
        <item t="default"/>
      </items>
    </pivotField>
    <pivotField numFmtId="3" showAll="0"/>
    <pivotField dataField="1" numFmtId="3" showAll="0"/>
    <pivotField showAll="0">
      <items count="5">
        <item x="2"/>
        <item x="0"/>
        <item x="3"/>
        <item x="1"/>
        <item t="default"/>
      </items>
    </pivotField>
  </pivotFields>
  <rowFields count="1">
    <field x="1"/>
  </rowFields>
  <rowItems count="5">
    <i>
      <x/>
    </i>
    <i>
      <x v="1"/>
    </i>
    <i>
      <x v="2"/>
    </i>
    <i>
      <x v="3"/>
    </i>
    <i t="grand">
      <x/>
    </i>
  </rowItems>
  <colFields count="1">
    <field x="4"/>
  </colFields>
  <colItems count="4">
    <i>
      <x/>
    </i>
    <i>
      <x v="1"/>
    </i>
    <i>
      <x v="2"/>
    </i>
    <i t="grand">
      <x/>
    </i>
  </colItems>
  <dataFields count="1">
    <dataField name="Sum of Total Sale Value" fld="7" baseField="0" baseItem="0" numFmtId="3"/>
  </dataFields>
  <formats count="20">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4" type="button" dataOnly="0" labelOnly="1" outline="0" axis="axisCol" fieldPosition="0"/>
    </format>
    <format dxfId="159">
      <pivotArea type="topRight" dataOnly="0" labelOnly="1" outline="0" fieldPosition="0"/>
    </format>
    <format dxfId="158">
      <pivotArea field="1" type="button" dataOnly="0" labelOnly="1" outline="0" axis="axisRow" fieldPosition="0"/>
    </format>
    <format dxfId="157">
      <pivotArea dataOnly="0" labelOnly="1" fieldPosition="0">
        <references count="1">
          <reference field="1" count="0"/>
        </references>
      </pivotArea>
    </format>
    <format dxfId="156">
      <pivotArea dataOnly="0" labelOnly="1" grandRow="1" outline="0" fieldPosition="0"/>
    </format>
    <format dxfId="155">
      <pivotArea dataOnly="0" labelOnly="1" fieldPosition="0">
        <references count="1">
          <reference field="4" count="0"/>
        </references>
      </pivotArea>
    </format>
    <format dxfId="154">
      <pivotArea dataOnly="0" labelOnly="1" grandCol="1" outline="0" fieldPosition="0"/>
    </format>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4" type="button" dataOnly="0" labelOnly="1" outline="0" axis="axisCol" fieldPosition="0"/>
    </format>
    <format dxfId="149">
      <pivotArea type="topRight" dataOnly="0" labelOnly="1" outline="0"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dataOnly="0" labelOnly="1" fieldPosition="0">
        <references count="1">
          <reference field="4" count="0"/>
        </references>
      </pivotArea>
    </format>
    <format dxfId="144">
      <pivotArea dataOnly="0" labelOnly="1" grandCol="1" outline="0" fieldPosition="0"/>
    </format>
  </format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E3F662-56AE-4295-BEEC-3290BD012213}" sourceName="Region">
  <pivotTables>
    <pivotTable tabId="4" name="PivotTable5"/>
  </pivotTables>
  <data>
    <tabular pivotCacheId="208784075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06AAA62-64CC-4DCF-8222-6B58116B8709}" sourceName="Payment Mode">
  <pivotTables>
    <pivotTable tabId="4" name="PivotTable5"/>
  </pivotTables>
  <data>
    <tabular pivotCacheId="208784075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77A7B7-B0FD-4127-A1AF-25FE002830F5}" sourceName="Category">
  <pivotTables>
    <pivotTable tabId="4" name="PivotTable3"/>
  </pivotTables>
  <data>
    <tabular pivotCacheId="208784075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94F593E9-0CDE-46A8-BD4B-6BDA429F6EB5}" sourceName="Payment Mode">
  <pivotTables>
    <pivotTable tabId="4" name="PivotTable3"/>
  </pivotTables>
  <data>
    <tabular pivotCacheId="2087840751">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BFF96972-5930-4C7C-AF25-0BB56CB32B67}" sourceName="Quantity">
  <pivotTables>
    <pivotTable tabId="4" name="PivotTable3"/>
  </pivotTables>
  <data>
    <tabular pivotCacheId="2087840751">
      <items count="6">
        <i x="3" s="1"/>
        <i x="0" s="1"/>
        <i x="1"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100E49-6127-48EF-92E0-C0F64BFA9D00}" cache="Slicer_Region" caption="Region" rowHeight="251883"/>
  <slicer name="Payment Mode" xr10:uid="{A2F73491-7298-4920-A1D1-1967FB0724AB}" cache="Slicer_Payment_Mode" caption="Payment Mode" rowHeight="251883"/>
  <slicer name="Category" xr10:uid="{063EEF98-52C1-418A-B5F5-79454F2F3F5F}" cache="Slicer_Category" caption="Category" rowHeight="251883"/>
  <slicer name="Payment Mode 1" xr10:uid="{756A99FC-6C7F-49E2-B7E9-97C062E66F59}" cache="Slicer_Payment_Mode1" caption="Payment Mode" rowHeight="251883"/>
  <slicer name="Payment Mode 2" xr10:uid="{C6BD3838-329D-48F0-8E87-FC1DC16B0419}" cache="Slicer_Payment_Mode1" caption="Payment Mode" rowHeight="251883"/>
  <slicer name="Quantity" xr10:uid="{55370170-CE9E-4AC5-BA9E-6D271BF45065}" cache="Slicer_Quantity" caption="Quantit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B27C-68C1-4E26-97E8-31B0DB140E95}">
  <dimension ref="A3:K68"/>
  <sheetViews>
    <sheetView workbookViewId="0">
      <selection activeCell="K14" sqref="K14"/>
    </sheetView>
  </sheetViews>
  <sheetFormatPr defaultRowHeight="14.5" x14ac:dyDescent="0.35"/>
  <cols>
    <col min="1" max="1" width="20.36328125" bestFit="1" customWidth="1"/>
    <col min="2" max="2" width="17.90625" bestFit="1" customWidth="1"/>
    <col min="3" max="3" width="10.1796875" bestFit="1" customWidth="1"/>
    <col min="4" max="4" width="8.54296875" bestFit="1" customWidth="1"/>
    <col min="5" max="5" width="10.36328125" bestFit="1" customWidth="1"/>
    <col min="6" max="6" width="20.36328125" bestFit="1" customWidth="1"/>
    <col min="7" max="7" width="14.26953125" bestFit="1" customWidth="1"/>
    <col min="8" max="8" width="20.36328125" bestFit="1" customWidth="1"/>
    <col min="9" max="9" width="14.26953125" bestFit="1" customWidth="1"/>
    <col min="10" max="10" width="24.90625" bestFit="1" customWidth="1"/>
    <col min="11" max="11" width="18.81640625" bestFit="1" customWidth="1"/>
  </cols>
  <sheetData>
    <row r="3" spans="1:11" x14ac:dyDescent="0.35">
      <c r="A3" s="9" t="s">
        <v>68</v>
      </c>
      <c r="B3" s="9" t="s">
        <v>65</v>
      </c>
      <c r="C3" s="10"/>
      <c r="D3" s="10"/>
      <c r="E3" s="10"/>
    </row>
    <row r="4" spans="1:11" x14ac:dyDescent="0.35">
      <c r="A4" s="9" t="s">
        <v>67</v>
      </c>
      <c r="B4" s="10" t="s">
        <v>30</v>
      </c>
      <c r="C4" s="10" t="s">
        <v>13</v>
      </c>
      <c r="D4" s="10" t="s">
        <v>24</v>
      </c>
      <c r="E4" s="10" t="s">
        <v>66</v>
      </c>
    </row>
    <row r="5" spans="1:11" x14ac:dyDescent="0.35">
      <c r="A5" s="10" t="s">
        <v>21</v>
      </c>
      <c r="B5" s="11">
        <v>24640</v>
      </c>
      <c r="C5" s="11">
        <v>64800</v>
      </c>
      <c r="D5" s="11">
        <v>45200</v>
      </c>
      <c r="E5" s="11">
        <v>134640</v>
      </c>
    </row>
    <row r="6" spans="1:11" x14ac:dyDescent="0.35">
      <c r="A6" s="10" t="s">
        <v>10</v>
      </c>
      <c r="B6" s="11">
        <v>39600</v>
      </c>
      <c r="C6" s="11">
        <v>113000</v>
      </c>
      <c r="D6" s="11">
        <v>32550</v>
      </c>
      <c r="E6" s="11">
        <v>185150</v>
      </c>
    </row>
    <row r="7" spans="1:11" x14ac:dyDescent="0.35">
      <c r="A7" s="10" t="s">
        <v>16</v>
      </c>
      <c r="B7" s="11">
        <v>28500</v>
      </c>
      <c r="C7" s="11">
        <v>82800</v>
      </c>
      <c r="D7" s="11">
        <v>22800</v>
      </c>
      <c r="E7" s="11">
        <v>134100</v>
      </c>
    </row>
    <row r="8" spans="1:11" x14ac:dyDescent="0.35">
      <c r="A8" s="10" t="s">
        <v>27</v>
      </c>
      <c r="B8" s="11">
        <v>36800</v>
      </c>
      <c r="C8" s="11">
        <v>16200</v>
      </c>
      <c r="D8" s="11">
        <v>22000</v>
      </c>
      <c r="E8" s="11">
        <v>75000</v>
      </c>
    </row>
    <row r="9" spans="1:11" x14ac:dyDescent="0.35">
      <c r="A9" s="10" t="s">
        <v>66</v>
      </c>
      <c r="B9" s="11">
        <v>129540</v>
      </c>
      <c r="C9" s="11">
        <v>276800</v>
      </c>
      <c r="D9" s="11">
        <v>122550</v>
      </c>
      <c r="E9" s="11">
        <v>528890</v>
      </c>
    </row>
    <row r="16" spans="1:11" x14ac:dyDescent="0.35">
      <c r="A16" s="10"/>
      <c r="B16" s="9" t="s">
        <v>65</v>
      </c>
      <c r="C16" s="10"/>
      <c r="D16" s="10"/>
      <c r="E16" s="10"/>
      <c r="F16" s="10"/>
      <c r="G16" s="10"/>
      <c r="H16" s="10"/>
      <c r="I16" s="10"/>
      <c r="J16" s="10"/>
      <c r="K16" s="10"/>
    </row>
    <row r="17" spans="1:11" x14ac:dyDescent="0.35">
      <c r="A17" s="10"/>
      <c r="B17" s="10" t="s">
        <v>21</v>
      </c>
      <c r="C17" s="10"/>
      <c r="D17" s="10" t="s">
        <v>10</v>
      </c>
      <c r="E17" s="10"/>
      <c r="F17" s="10" t="s">
        <v>16</v>
      </c>
      <c r="G17" s="10"/>
      <c r="H17" s="10" t="s">
        <v>27</v>
      </c>
      <c r="I17" s="10"/>
      <c r="J17" s="10" t="s">
        <v>69</v>
      </c>
      <c r="K17" s="10" t="s">
        <v>70</v>
      </c>
    </row>
    <row r="18" spans="1:11" x14ac:dyDescent="0.35">
      <c r="A18" s="9" t="s">
        <v>67</v>
      </c>
      <c r="B18" s="10" t="s">
        <v>68</v>
      </c>
      <c r="C18" s="10" t="s">
        <v>71</v>
      </c>
      <c r="D18" s="10" t="s">
        <v>68</v>
      </c>
      <c r="E18" s="10" t="s">
        <v>71</v>
      </c>
      <c r="F18" s="10" t="s">
        <v>68</v>
      </c>
      <c r="G18" s="10" t="s">
        <v>71</v>
      </c>
      <c r="H18" s="10" t="s">
        <v>68</v>
      </c>
      <c r="I18" s="10" t="s">
        <v>71</v>
      </c>
      <c r="J18" s="10"/>
      <c r="K18" s="10"/>
    </row>
    <row r="19" spans="1:11" x14ac:dyDescent="0.35">
      <c r="A19" s="10" t="s">
        <v>58</v>
      </c>
      <c r="B19" s="11"/>
      <c r="C19" s="12"/>
      <c r="D19" s="11">
        <v>39600</v>
      </c>
      <c r="E19" s="12">
        <v>1</v>
      </c>
      <c r="F19" s="11"/>
      <c r="G19" s="12"/>
      <c r="H19" s="11"/>
      <c r="I19" s="12"/>
      <c r="J19" s="11">
        <v>39600</v>
      </c>
      <c r="K19" s="12">
        <v>1</v>
      </c>
    </row>
    <row r="20" spans="1:11" x14ac:dyDescent="0.35">
      <c r="A20" s="10" t="s">
        <v>61</v>
      </c>
      <c r="B20" s="11"/>
      <c r="C20" s="12"/>
      <c r="D20" s="11"/>
      <c r="E20" s="12"/>
      <c r="F20" s="11">
        <v>15300</v>
      </c>
      <c r="G20" s="12">
        <v>6</v>
      </c>
      <c r="H20" s="11"/>
      <c r="I20" s="12"/>
      <c r="J20" s="11">
        <v>15300</v>
      </c>
      <c r="K20" s="12">
        <v>6</v>
      </c>
    </row>
    <row r="21" spans="1:11" x14ac:dyDescent="0.35">
      <c r="A21" s="10" t="s">
        <v>64</v>
      </c>
      <c r="B21" s="11">
        <v>15200</v>
      </c>
      <c r="C21" s="12">
        <v>2</v>
      </c>
      <c r="D21" s="11"/>
      <c r="E21" s="12"/>
      <c r="F21" s="11"/>
      <c r="G21" s="12"/>
      <c r="H21" s="11"/>
      <c r="I21" s="12"/>
      <c r="J21" s="11">
        <v>15200</v>
      </c>
      <c r="K21" s="12">
        <v>2</v>
      </c>
    </row>
    <row r="22" spans="1:11" x14ac:dyDescent="0.35">
      <c r="A22" s="10" t="s">
        <v>55</v>
      </c>
      <c r="B22" s="11"/>
      <c r="C22" s="12"/>
      <c r="D22" s="11"/>
      <c r="E22" s="12"/>
      <c r="F22" s="11"/>
      <c r="G22" s="12"/>
      <c r="H22" s="11">
        <v>22000</v>
      </c>
      <c r="I22" s="12">
        <v>1</v>
      </c>
      <c r="J22" s="11">
        <v>22000</v>
      </c>
      <c r="K22" s="12">
        <v>1</v>
      </c>
    </row>
    <row r="23" spans="1:11" x14ac:dyDescent="0.35">
      <c r="A23" s="10" t="s">
        <v>34</v>
      </c>
      <c r="B23" s="11"/>
      <c r="C23" s="12"/>
      <c r="D23" s="11">
        <v>8500</v>
      </c>
      <c r="E23" s="12">
        <v>5</v>
      </c>
      <c r="F23" s="11"/>
      <c r="G23" s="12"/>
      <c r="H23" s="11"/>
      <c r="I23" s="12"/>
      <c r="J23" s="11">
        <v>8500</v>
      </c>
      <c r="K23" s="12">
        <v>5</v>
      </c>
    </row>
    <row r="24" spans="1:11" x14ac:dyDescent="0.35">
      <c r="A24" s="10" t="s">
        <v>12</v>
      </c>
      <c r="B24" s="11"/>
      <c r="C24" s="12"/>
      <c r="D24" s="11">
        <v>104500</v>
      </c>
      <c r="E24" s="12">
        <v>2</v>
      </c>
      <c r="F24" s="11"/>
      <c r="G24" s="12"/>
      <c r="H24" s="11"/>
      <c r="I24" s="12"/>
      <c r="J24" s="11">
        <v>104500</v>
      </c>
      <c r="K24" s="12">
        <v>2</v>
      </c>
    </row>
    <row r="25" spans="1:11" x14ac:dyDescent="0.35">
      <c r="A25" s="10" t="s">
        <v>49</v>
      </c>
      <c r="B25" s="11"/>
      <c r="C25" s="12"/>
      <c r="D25" s="11"/>
      <c r="E25" s="12"/>
      <c r="F25" s="11">
        <v>28500</v>
      </c>
      <c r="G25" s="12">
        <v>2</v>
      </c>
      <c r="H25" s="11"/>
      <c r="I25" s="12"/>
      <c r="J25" s="11">
        <v>28500</v>
      </c>
      <c r="K25" s="12">
        <v>2</v>
      </c>
    </row>
    <row r="26" spans="1:11" x14ac:dyDescent="0.35">
      <c r="A26" s="10" t="s">
        <v>18</v>
      </c>
      <c r="B26" s="11"/>
      <c r="C26" s="12"/>
      <c r="D26" s="11"/>
      <c r="E26" s="12"/>
      <c r="F26" s="11">
        <v>67500</v>
      </c>
      <c r="G26" s="12">
        <v>3</v>
      </c>
      <c r="H26" s="11"/>
      <c r="I26" s="12"/>
      <c r="J26" s="11">
        <v>67500</v>
      </c>
      <c r="K26" s="12">
        <v>3</v>
      </c>
    </row>
    <row r="27" spans="1:11" x14ac:dyDescent="0.35">
      <c r="A27" s="10" t="s">
        <v>23</v>
      </c>
      <c r="B27" s="11">
        <v>30000</v>
      </c>
      <c r="C27" s="12">
        <v>4</v>
      </c>
      <c r="D27" s="11"/>
      <c r="E27" s="12"/>
      <c r="F27" s="11"/>
      <c r="G27" s="12"/>
      <c r="H27" s="11"/>
      <c r="I27" s="12"/>
      <c r="J27" s="11">
        <v>30000</v>
      </c>
      <c r="K27" s="12">
        <v>4</v>
      </c>
    </row>
    <row r="28" spans="1:11" x14ac:dyDescent="0.35">
      <c r="A28" s="10" t="s">
        <v>29</v>
      </c>
      <c r="B28" s="11"/>
      <c r="C28" s="12"/>
      <c r="D28" s="11"/>
      <c r="E28" s="12"/>
      <c r="F28" s="11"/>
      <c r="G28" s="12"/>
      <c r="H28" s="11">
        <v>36800</v>
      </c>
      <c r="I28" s="12">
        <v>1</v>
      </c>
      <c r="J28" s="11">
        <v>36800</v>
      </c>
      <c r="K28" s="12">
        <v>1</v>
      </c>
    </row>
    <row r="29" spans="1:11" x14ac:dyDescent="0.35">
      <c r="A29" s="10" t="s">
        <v>43</v>
      </c>
      <c r="B29" s="11"/>
      <c r="C29" s="12"/>
      <c r="D29" s="11"/>
      <c r="E29" s="12"/>
      <c r="F29" s="11"/>
      <c r="G29" s="12"/>
      <c r="H29" s="11">
        <v>16200</v>
      </c>
      <c r="I29" s="12">
        <v>3</v>
      </c>
      <c r="J29" s="11">
        <v>16200</v>
      </c>
      <c r="K29" s="12">
        <v>3</v>
      </c>
    </row>
    <row r="30" spans="1:11" x14ac:dyDescent="0.35">
      <c r="A30" s="10" t="s">
        <v>46</v>
      </c>
      <c r="B30" s="11"/>
      <c r="C30" s="12"/>
      <c r="D30" s="11">
        <v>32550</v>
      </c>
      <c r="E30" s="12">
        <v>1</v>
      </c>
      <c r="F30" s="11"/>
      <c r="G30" s="12"/>
      <c r="H30" s="11"/>
      <c r="I30" s="12"/>
      <c r="J30" s="11">
        <v>32550</v>
      </c>
      <c r="K30" s="12">
        <v>1</v>
      </c>
    </row>
    <row r="31" spans="1:11" x14ac:dyDescent="0.35">
      <c r="A31" s="10" t="s">
        <v>37</v>
      </c>
      <c r="B31" s="11"/>
      <c r="C31" s="12"/>
      <c r="D31" s="11"/>
      <c r="E31" s="12"/>
      <c r="F31" s="11">
        <v>22800</v>
      </c>
      <c r="G31" s="12">
        <v>2</v>
      </c>
      <c r="H31" s="11"/>
      <c r="I31" s="12"/>
      <c r="J31" s="11">
        <v>22800</v>
      </c>
      <c r="K31" s="12">
        <v>2</v>
      </c>
    </row>
    <row r="32" spans="1:11" x14ac:dyDescent="0.35">
      <c r="A32" s="10" t="s">
        <v>52</v>
      </c>
      <c r="B32" s="11">
        <v>64800</v>
      </c>
      <c r="C32" s="12">
        <v>4</v>
      </c>
      <c r="D32" s="11"/>
      <c r="E32" s="12"/>
      <c r="F32" s="11"/>
      <c r="G32" s="12"/>
      <c r="H32" s="11"/>
      <c r="I32" s="12"/>
      <c r="J32" s="11">
        <v>64800</v>
      </c>
      <c r="K32" s="12">
        <v>4</v>
      </c>
    </row>
    <row r="33" spans="1:11" x14ac:dyDescent="0.35">
      <c r="A33" s="10" t="s">
        <v>40</v>
      </c>
      <c r="B33" s="11">
        <v>24640</v>
      </c>
      <c r="C33" s="12">
        <v>1</v>
      </c>
      <c r="D33" s="11"/>
      <c r="E33" s="12"/>
      <c r="F33" s="11"/>
      <c r="G33" s="12"/>
      <c r="H33" s="11"/>
      <c r="I33" s="12"/>
      <c r="J33" s="11">
        <v>24640</v>
      </c>
      <c r="K33" s="12">
        <v>1</v>
      </c>
    </row>
    <row r="34" spans="1:11" x14ac:dyDescent="0.35">
      <c r="A34" s="10" t="s">
        <v>66</v>
      </c>
      <c r="B34" s="11">
        <v>134640</v>
      </c>
      <c r="C34" s="12">
        <v>11</v>
      </c>
      <c r="D34" s="11">
        <v>185150</v>
      </c>
      <c r="E34" s="12">
        <v>9</v>
      </c>
      <c r="F34" s="11">
        <v>134100</v>
      </c>
      <c r="G34" s="12">
        <v>13</v>
      </c>
      <c r="H34" s="11">
        <v>75000</v>
      </c>
      <c r="I34" s="12">
        <v>5</v>
      </c>
      <c r="J34" s="11">
        <v>528890</v>
      </c>
      <c r="K34" s="12">
        <v>38</v>
      </c>
    </row>
    <row r="52" spans="2:3" x14ac:dyDescent="0.35">
      <c r="B52" s="9" t="s">
        <v>67</v>
      </c>
      <c r="C52" s="10" t="s">
        <v>68</v>
      </c>
    </row>
    <row r="53" spans="2:3" x14ac:dyDescent="0.35">
      <c r="B53" s="10" t="s">
        <v>58</v>
      </c>
      <c r="C53" s="11">
        <v>39600</v>
      </c>
    </row>
    <row r="54" spans="2:3" x14ac:dyDescent="0.35">
      <c r="B54" s="10" t="s">
        <v>61</v>
      </c>
      <c r="C54" s="11">
        <v>15300</v>
      </c>
    </row>
    <row r="55" spans="2:3" x14ac:dyDescent="0.35">
      <c r="B55" s="10" t="s">
        <v>64</v>
      </c>
      <c r="C55" s="11">
        <v>15200</v>
      </c>
    </row>
    <row r="56" spans="2:3" x14ac:dyDescent="0.35">
      <c r="B56" s="10" t="s">
        <v>55</v>
      </c>
      <c r="C56" s="11">
        <v>22000</v>
      </c>
    </row>
    <row r="57" spans="2:3" x14ac:dyDescent="0.35">
      <c r="B57" s="10" t="s">
        <v>34</v>
      </c>
      <c r="C57" s="11">
        <v>8500</v>
      </c>
    </row>
    <row r="58" spans="2:3" x14ac:dyDescent="0.35">
      <c r="B58" s="10" t="s">
        <v>12</v>
      </c>
      <c r="C58" s="11">
        <v>104500</v>
      </c>
    </row>
    <row r="59" spans="2:3" x14ac:dyDescent="0.35">
      <c r="B59" s="10" t="s">
        <v>49</v>
      </c>
      <c r="C59" s="11">
        <v>28500</v>
      </c>
    </row>
    <row r="60" spans="2:3" x14ac:dyDescent="0.35">
      <c r="B60" s="10" t="s">
        <v>18</v>
      </c>
      <c r="C60" s="11">
        <v>67500</v>
      </c>
    </row>
    <row r="61" spans="2:3" x14ac:dyDescent="0.35">
      <c r="B61" s="10" t="s">
        <v>23</v>
      </c>
      <c r="C61" s="11">
        <v>30000</v>
      </c>
    </row>
    <row r="62" spans="2:3" x14ac:dyDescent="0.35">
      <c r="B62" s="10" t="s">
        <v>29</v>
      </c>
      <c r="C62" s="11">
        <v>36800</v>
      </c>
    </row>
    <row r="63" spans="2:3" x14ac:dyDescent="0.35">
      <c r="B63" s="10" t="s">
        <v>43</v>
      </c>
      <c r="C63" s="11">
        <v>16200</v>
      </c>
    </row>
    <row r="64" spans="2:3" x14ac:dyDescent="0.35">
      <c r="B64" s="10" t="s">
        <v>46</v>
      </c>
      <c r="C64" s="11">
        <v>32550</v>
      </c>
    </row>
    <row r="65" spans="2:3" x14ac:dyDescent="0.35">
      <c r="B65" s="10" t="s">
        <v>37</v>
      </c>
      <c r="C65" s="11">
        <v>22800</v>
      </c>
    </row>
    <row r="66" spans="2:3" x14ac:dyDescent="0.35">
      <c r="B66" s="10" t="s">
        <v>52</v>
      </c>
      <c r="C66" s="11">
        <v>64800</v>
      </c>
    </row>
    <row r="67" spans="2:3" x14ac:dyDescent="0.35">
      <c r="B67" s="10" t="s">
        <v>40</v>
      </c>
      <c r="C67" s="11">
        <v>24640</v>
      </c>
    </row>
    <row r="68" spans="2:3" x14ac:dyDescent="0.35">
      <c r="B68" s="10" t="s">
        <v>66</v>
      </c>
      <c r="C68" s="11">
        <v>528890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AFB9-7059-4E65-BE61-39CE9F219CD6}">
  <dimension ref="A1:P41"/>
  <sheetViews>
    <sheetView tabSelected="1" workbookViewId="0"/>
  </sheetViews>
  <sheetFormatPr defaultRowHeight="14.5" x14ac:dyDescent="0.35"/>
  <cols>
    <col min="1" max="1" width="12.36328125" customWidth="1"/>
    <col min="2" max="2" width="12.90625" customWidth="1"/>
    <col min="3" max="3" width="11.81640625" customWidth="1"/>
    <col min="4" max="4" width="16.36328125" customWidth="1"/>
    <col min="5" max="5" width="44.26953125" customWidth="1"/>
    <col min="6" max="6" width="13.7265625" customWidth="1"/>
    <col min="7" max="7" width="10.08984375" bestFit="1" customWidth="1"/>
    <col min="8" max="8" width="17.7265625" customWidth="1"/>
    <col min="9" max="9" width="14.90625" customWidth="1"/>
    <col min="10" max="10" width="11" customWidth="1"/>
    <col min="11" max="11" width="13.7265625" customWidth="1"/>
    <col min="12" max="12" width="13.26953125" customWidth="1"/>
    <col min="13" max="13" width="12.36328125" customWidth="1"/>
    <col min="14" max="14" width="12.54296875" customWidth="1"/>
    <col min="15" max="15" width="12.26953125" customWidth="1"/>
    <col min="16" max="16" width="11" customWidth="1"/>
  </cols>
  <sheetData>
    <row r="1" spans="1:10" x14ac:dyDescent="0.35">
      <c r="A1" s="7" t="s">
        <v>0</v>
      </c>
      <c r="B1" s="7" t="s">
        <v>1</v>
      </c>
      <c r="C1" s="7" t="s">
        <v>2</v>
      </c>
      <c r="D1" s="7" t="s">
        <v>3</v>
      </c>
      <c r="E1" s="7" t="s">
        <v>4</v>
      </c>
      <c r="F1" s="7" t="s">
        <v>5</v>
      </c>
      <c r="G1" s="7" t="s">
        <v>6</v>
      </c>
      <c r="H1" s="7" t="s">
        <v>7</v>
      </c>
      <c r="I1" s="7" t="s">
        <v>8</v>
      </c>
      <c r="J1" s="1"/>
    </row>
    <row r="2" spans="1:10" x14ac:dyDescent="0.35">
      <c r="A2" s="4" t="s">
        <v>9</v>
      </c>
      <c r="B2" s="5" t="s">
        <v>10</v>
      </c>
      <c r="C2" s="5" t="s">
        <v>11</v>
      </c>
      <c r="D2" s="5" t="s">
        <v>12</v>
      </c>
      <c r="E2" s="5" t="s">
        <v>13</v>
      </c>
      <c r="F2" s="5">
        <v>2</v>
      </c>
      <c r="G2" s="6">
        <v>55000</v>
      </c>
      <c r="H2" s="6">
        <v>104500</v>
      </c>
      <c r="I2" s="5" t="s">
        <v>14</v>
      </c>
      <c r="J2" s="3"/>
    </row>
    <row r="3" spans="1:10" x14ac:dyDescent="0.35">
      <c r="A3" s="4" t="s">
        <v>15</v>
      </c>
      <c r="B3" s="5" t="s">
        <v>16</v>
      </c>
      <c r="C3" s="5" t="s">
        <v>17</v>
      </c>
      <c r="D3" s="5" t="s">
        <v>18</v>
      </c>
      <c r="E3" s="5" t="s">
        <v>13</v>
      </c>
      <c r="F3" s="5">
        <v>3</v>
      </c>
      <c r="G3" s="6">
        <v>25000</v>
      </c>
      <c r="H3" s="6">
        <v>67500</v>
      </c>
      <c r="I3" s="5" t="s">
        <v>19</v>
      </c>
      <c r="J3" s="3"/>
    </row>
    <row r="4" spans="1:10" x14ac:dyDescent="0.35">
      <c r="A4" s="4" t="s">
        <v>20</v>
      </c>
      <c r="B4" s="5" t="s">
        <v>21</v>
      </c>
      <c r="C4" s="5" t="s">
        <v>22</v>
      </c>
      <c r="D4" s="5" t="s">
        <v>23</v>
      </c>
      <c r="E4" s="5" t="s">
        <v>24</v>
      </c>
      <c r="F4" s="5">
        <v>4</v>
      </c>
      <c r="G4" s="6">
        <v>7500</v>
      </c>
      <c r="H4" s="6">
        <v>30000</v>
      </c>
      <c r="I4" s="5" t="s">
        <v>25</v>
      </c>
      <c r="J4" s="3"/>
    </row>
    <row r="5" spans="1:10" x14ac:dyDescent="0.35">
      <c r="A5" s="4" t="s">
        <v>26</v>
      </c>
      <c r="B5" s="5" t="s">
        <v>27</v>
      </c>
      <c r="C5" s="5" t="s">
        <v>28</v>
      </c>
      <c r="D5" s="5" t="s">
        <v>29</v>
      </c>
      <c r="E5" s="5" t="s">
        <v>30</v>
      </c>
      <c r="F5" s="5">
        <v>1</v>
      </c>
      <c r="G5" s="6">
        <v>40000</v>
      </c>
      <c r="H5" s="6">
        <v>36800</v>
      </c>
      <c r="I5" s="5" t="s">
        <v>31</v>
      </c>
      <c r="J5" s="3"/>
    </row>
    <row r="6" spans="1:10" x14ac:dyDescent="0.35">
      <c r="A6" s="4" t="s">
        <v>32</v>
      </c>
      <c r="B6" s="5" t="s">
        <v>10</v>
      </c>
      <c r="C6" s="5" t="s">
        <v>33</v>
      </c>
      <c r="D6" s="5" t="s">
        <v>34</v>
      </c>
      <c r="E6" s="5" t="s">
        <v>13</v>
      </c>
      <c r="F6" s="5">
        <v>5</v>
      </c>
      <c r="G6" s="6">
        <v>2000</v>
      </c>
      <c r="H6" s="6">
        <v>8500</v>
      </c>
      <c r="I6" s="5" t="s">
        <v>19</v>
      </c>
      <c r="J6" s="3"/>
    </row>
    <row r="7" spans="1:10" x14ac:dyDescent="0.35">
      <c r="A7" s="4" t="s">
        <v>35</v>
      </c>
      <c r="B7" s="5" t="s">
        <v>16</v>
      </c>
      <c r="C7" s="5" t="s">
        <v>36</v>
      </c>
      <c r="D7" s="5" t="s">
        <v>37</v>
      </c>
      <c r="E7" s="5" t="s">
        <v>24</v>
      </c>
      <c r="F7" s="5">
        <v>2</v>
      </c>
      <c r="G7" s="6">
        <v>12000</v>
      </c>
      <c r="H7" s="6">
        <v>22800</v>
      </c>
      <c r="I7" s="5" t="s">
        <v>14</v>
      </c>
      <c r="J7" s="3"/>
    </row>
    <row r="8" spans="1:10" ht="29" x14ac:dyDescent="0.35">
      <c r="A8" s="4" t="s">
        <v>38</v>
      </c>
      <c r="B8" s="5" t="s">
        <v>21</v>
      </c>
      <c r="C8" s="5" t="s">
        <v>39</v>
      </c>
      <c r="D8" s="5" t="s">
        <v>40</v>
      </c>
      <c r="E8" s="5" t="s">
        <v>30</v>
      </c>
      <c r="F8" s="5">
        <v>1</v>
      </c>
      <c r="G8" s="6">
        <v>28000</v>
      </c>
      <c r="H8" s="6">
        <v>24640</v>
      </c>
      <c r="I8" s="5" t="s">
        <v>31</v>
      </c>
      <c r="J8" s="3"/>
    </row>
    <row r="9" spans="1:10" x14ac:dyDescent="0.35">
      <c r="A9" s="4" t="s">
        <v>41</v>
      </c>
      <c r="B9" s="5" t="s">
        <v>27</v>
      </c>
      <c r="C9" s="5" t="s">
        <v>42</v>
      </c>
      <c r="D9" s="5" t="s">
        <v>43</v>
      </c>
      <c r="E9" s="5" t="s">
        <v>13</v>
      </c>
      <c r="F9" s="5">
        <v>3</v>
      </c>
      <c r="G9" s="6">
        <v>6000</v>
      </c>
      <c r="H9" s="6">
        <v>16200</v>
      </c>
      <c r="I9" s="5" t="s">
        <v>19</v>
      </c>
      <c r="J9" s="3"/>
    </row>
    <row r="10" spans="1:10" x14ac:dyDescent="0.35">
      <c r="A10" s="4" t="s">
        <v>44</v>
      </c>
      <c r="B10" s="5" t="s">
        <v>10</v>
      </c>
      <c r="C10" s="5" t="s">
        <v>45</v>
      </c>
      <c r="D10" s="5" t="s">
        <v>46</v>
      </c>
      <c r="E10" s="5" t="s">
        <v>24</v>
      </c>
      <c r="F10" s="5">
        <v>1</v>
      </c>
      <c r="G10" s="6">
        <v>35000</v>
      </c>
      <c r="H10" s="6">
        <v>32550</v>
      </c>
      <c r="I10" s="5" t="s">
        <v>14</v>
      </c>
      <c r="J10" s="3"/>
    </row>
    <row r="11" spans="1:10" ht="29" x14ac:dyDescent="0.35">
      <c r="A11" s="4" t="s">
        <v>47</v>
      </c>
      <c r="B11" s="5" t="s">
        <v>16</v>
      </c>
      <c r="C11" s="5" t="s">
        <v>48</v>
      </c>
      <c r="D11" s="5" t="s">
        <v>49</v>
      </c>
      <c r="E11" s="5" t="s">
        <v>30</v>
      </c>
      <c r="F11" s="5">
        <v>2</v>
      </c>
      <c r="G11" s="6">
        <v>15000</v>
      </c>
      <c r="H11" s="6">
        <v>28500</v>
      </c>
      <c r="I11" s="5" t="s">
        <v>25</v>
      </c>
      <c r="J11" s="3"/>
    </row>
    <row r="12" spans="1:10" x14ac:dyDescent="0.35">
      <c r="A12" s="4" t="s">
        <v>50</v>
      </c>
      <c r="B12" s="5" t="s">
        <v>21</v>
      </c>
      <c r="C12" s="5" t="s">
        <v>51</v>
      </c>
      <c r="D12" s="5" t="s">
        <v>52</v>
      </c>
      <c r="E12" s="5" t="s">
        <v>13</v>
      </c>
      <c r="F12" s="5">
        <v>4</v>
      </c>
      <c r="G12" s="6">
        <v>18000</v>
      </c>
      <c r="H12" s="6">
        <v>64800</v>
      </c>
      <c r="I12" s="5" t="s">
        <v>31</v>
      </c>
      <c r="J12" s="3"/>
    </row>
    <row r="13" spans="1:10" x14ac:dyDescent="0.35">
      <c r="A13" s="4" t="s">
        <v>53</v>
      </c>
      <c r="B13" s="5" t="s">
        <v>27</v>
      </c>
      <c r="C13" s="5" t="s">
        <v>54</v>
      </c>
      <c r="D13" s="5" t="s">
        <v>55</v>
      </c>
      <c r="E13" s="5" t="s">
        <v>24</v>
      </c>
      <c r="F13" s="5">
        <v>1</v>
      </c>
      <c r="G13" s="6">
        <v>22000</v>
      </c>
      <c r="H13" s="6">
        <v>22000</v>
      </c>
      <c r="I13" s="5" t="s">
        <v>14</v>
      </c>
      <c r="J13" s="3"/>
    </row>
    <row r="14" spans="1:10" x14ac:dyDescent="0.35">
      <c r="A14" s="4" t="s">
        <v>56</v>
      </c>
      <c r="B14" s="5" t="s">
        <v>10</v>
      </c>
      <c r="C14" s="5" t="s">
        <v>57</v>
      </c>
      <c r="D14" s="5" t="s">
        <v>58</v>
      </c>
      <c r="E14" s="5" t="s">
        <v>30</v>
      </c>
      <c r="F14" s="5">
        <v>1</v>
      </c>
      <c r="G14" s="6">
        <v>45000</v>
      </c>
      <c r="H14" s="6">
        <v>39600</v>
      </c>
      <c r="I14" s="5" t="s">
        <v>19</v>
      </c>
      <c r="J14" s="3"/>
    </row>
    <row r="15" spans="1:10" ht="29" x14ac:dyDescent="0.35">
      <c r="A15" s="4" t="s">
        <v>59</v>
      </c>
      <c r="B15" s="5" t="s">
        <v>16</v>
      </c>
      <c r="C15" s="5" t="s">
        <v>60</v>
      </c>
      <c r="D15" s="5" t="s">
        <v>61</v>
      </c>
      <c r="E15" s="5" t="s">
        <v>13</v>
      </c>
      <c r="F15" s="5">
        <v>6</v>
      </c>
      <c r="G15" s="6">
        <v>3000</v>
      </c>
      <c r="H15" s="6">
        <v>15300</v>
      </c>
      <c r="I15" s="5" t="s">
        <v>31</v>
      </c>
      <c r="J15" s="3"/>
    </row>
    <row r="16" spans="1:10" x14ac:dyDescent="0.35">
      <c r="A16" s="4" t="s">
        <v>62</v>
      </c>
      <c r="B16" s="5" t="s">
        <v>21</v>
      </c>
      <c r="C16" s="5" t="s">
        <v>63</v>
      </c>
      <c r="D16" s="5" t="s">
        <v>64</v>
      </c>
      <c r="E16" s="5" t="s">
        <v>24</v>
      </c>
      <c r="F16" s="5">
        <v>2</v>
      </c>
      <c r="G16" s="6">
        <v>8000</v>
      </c>
      <c r="H16" s="6">
        <v>15200</v>
      </c>
      <c r="I16" s="5" t="s">
        <v>25</v>
      </c>
      <c r="J16" s="3"/>
    </row>
    <row r="19" spans="1:16" ht="29" x14ac:dyDescent="0.35">
      <c r="C19" s="13" t="s">
        <v>72</v>
      </c>
      <c r="D19" s="13" t="s">
        <v>73</v>
      </c>
    </row>
    <row r="21" spans="1:16" x14ac:dyDescent="0.35">
      <c r="C21" t="s">
        <v>35</v>
      </c>
      <c r="D21" t="str">
        <f>VLOOKUP(C21,A1:I16,5,0)</f>
        <v>Furniture</v>
      </c>
    </row>
    <row r="23" spans="1:16" x14ac:dyDescent="0.35">
      <c r="C23" s="8">
        <v>28500</v>
      </c>
      <c r="D23" t="str">
        <f>_xlfn.XLOOKUP(C23,H2:H16,C2:C16)</f>
        <v>Rohan Gupta</v>
      </c>
    </row>
    <row r="25" spans="1:16" x14ac:dyDescent="0.35">
      <c r="C25" s="2"/>
    </row>
    <row r="27" spans="1:16" x14ac:dyDescent="0.35">
      <c r="A27" s="7" t="s">
        <v>74</v>
      </c>
      <c r="B27" s="7" t="s">
        <v>9</v>
      </c>
      <c r="C27" s="7" t="s">
        <v>15</v>
      </c>
      <c r="D27" s="7" t="s">
        <v>20</v>
      </c>
      <c r="E27" s="7" t="s">
        <v>26</v>
      </c>
      <c r="F27" s="7" t="s">
        <v>32</v>
      </c>
      <c r="G27" s="7" t="s">
        <v>35</v>
      </c>
      <c r="H27" s="7" t="s">
        <v>38</v>
      </c>
      <c r="I27" s="7" t="s">
        <v>41</v>
      </c>
      <c r="J27" s="7" t="s">
        <v>44</v>
      </c>
      <c r="K27" s="7" t="s">
        <v>47</v>
      </c>
      <c r="L27" s="7" t="s">
        <v>50</v>
      </c>
      <c r="M27" s="7" t="s">
        <v>53</v>
      </c>
      <c r="N27" s="7" t="s">
        <v>56</v>
      </c>
      <c r="O27" s="7" t="s">
        <v>59</v>
      </c>
      <c r="P27" s="7" t="s">
        <v>62</v>
      </c>
    </row>
    <row r="28" spans="1:16" x14ac:dyDescent="0.35">
      <c r="A28" s="4" t="s">
        <v>0</v>
      </c>
      <c r="B28" s="5" t="s">
        <v>9</v>
      </c>
      <c r="C28" s="5" t="s">
        <v>15</v>
      </c>
      <c r="D28" s="5" t="s">
        <v>20</v>
      </c>
      <c r="E28" s="5" t="s">
        <v>26</v>
      </c>
      <c r="F28" s="5" t="s">
        <v>32</v>
      </c>
      <c r="G28" s="5" t="s">
        <v>35</v>
      </c>
      <c r="H28" s="5" t="s">
        <v>38</v>
      </c>
      <c r="I28" s="5" t="s">
        <v>41</v>
      </c>
      <c r="J28" s="5" t="s">
        <v>44</v>
      </c>
      <c r="K28" s="5" t="s">
        <v>47</v>
      </c>
      <c r="L28" s="5" t="s">
        <v>50</v>
      </c>
      <c r="M28" s="5" t="s">
        <v>53</v>
      </c>
      <c r="N28" s="5" t="s">
        <v>56</v>
      </c>
      <c r="O28" s="5" t="s">
        <v>59</v>
      </c>
      <c r="P28" s="5" t="s">
        <v>62</v>
      </c>
    </row>
    <row r="29" spans="1:16" x14ac:dyDescent="0.35">
      <c r="A29" s="4" t="s">
        <v>1</v>
      </c>
      <c r="B29" s="5" t="s">
        <v>10</v>
      </c>
      <c r="C29" s="5" t="s">
        <v>16</v>
      </c>
      <c r="D29" s="5" t="s">
        <v>21</v>
      </c>
      <c r="E29" s="5" t="s">
        <v>27</v>
      </c>
      <c r="F29" s="5" t="s">
        <v>10</v>
      </c>
      <c r="G29" s="5" t="s">
        <v>16</v>
      </c>
      <c r="H29" s="5" t="s">
        <v>21</v>
      </c>
      <c r="I29" s="5" t="s">
        <v>27</v>
      </c>
      <c r="J29" s="5" t="s">
        <v>10</v>
      </c>
      <c r="K29" s="5" t="s">
        <v>16</v>
      </c>
      <c r="L29" s="5" t="s">
        <v>21</v>
      </c>
      <c r="M29" s="5" t="s">
        <v>27</v>
      </c>
      <c r="N29" s="5" t="s">
        <v>10</v>
      </c>
      <c r="O29" s="5" t="s">
        <v>16</v>
      </c>
      <c r="P29" s="5" t="s">
        <v>21</v>
      </c>
    </row>
    <row r="30" spans="1:16" x14ac:dyDescent="0.35">
      <c r="A30" s="4" t="s">
        <v>2</v>
      </c>
      <c r="B30" s="5" t="s">
        <v>11</v>
      </c>
      <c r="C30" s="5" t="s">
        <v>17</v>
      </c>
      <c r="D30" s="5" t="s">
        <v>22</v>
      </c>
      <c r="E30" s="5" t="s">
        <v>28</v>
      </c>
      <c r="F30" s="5" t="s">
        <v>33</v>
      </c>
      <c r="G30" s="5" t="s">
        <v>36</v>
      </c>
      <c r="H30" s="5" t="s">
        <v>39</v>
      </c>
      <c r="I30" s="5" t="s">
        <v>42</v>
      </c>
      <c r="J30" s="5" t="s">
        <v>45</v>
      </c>
      <c r="K30" s="5" t="s">
        <v>48</v>
      </c>
      <c r="L30" s="5" t="s">
        <v>51</v>
      </c>
      <c r="M30" s="5" t="s">
        <v>54</v>
      </c>
      <c r="N30" s="5" t="s">
        <v>57</v>
      </c>
      <c r="O30" s="5" t="s">
        <v>60</v>
      </c>
      <c r="P30" s="5" t="s">
        <v>63</v>
      </c>
    </row>
    <row r="31" spans="1:16" ht="29" x14ac:dyDescent="0.35">
      <c r="A31" s="4" t="s">
        <v>3</v>
      </c>
      <c r="B31" s="5" t="s">
        <v>12</v>
      </c>
      <c r="C31" s="5" t="s">
        <v>18</v>
      </c>
      <c r="D31" s="5" t="s">
        <v>23</v>
      </c>
      <c r="E31" s="5" t="s">
        <v>29</v>
      </c>
      <c r="F31" s="5" t="s">
        <v>34</v>
      </c>
      <c r="G31" s="5" t="s">
        <v>37</v>
      </c>
      <c r="H31" s="5" t="s">
        <v>40</v>
      </c>
      <c r="I31" s="5" t="s">
        <v>43</v>
      </c>
      <c r="J31" s="5" t="s">
        <v>46</v>
      </c>
      <c r="K31" s="5" t="s">
        <v>49</v>
      </c>
      <c r="L31" s="5" t="s">
        <v>52</v>
      </c>
      <c r="M31" s="5" t="s">
        <v>55</v>
      </c>
      <c r="N31" s="5" t="s">
        <v>58</v>
      </c>
      <c r="O31" s="5" t="s">
        <v>61</v>
      </c>
      <c r="P31" s="5" t="s">
        <v>64</v>
      </c>
    </row>
    <row r="32" spans="1:16" x14ac:dyDescent="0.35">
      <c r="A32" s="4" t="s">
        <v>4</v>
      </c>
      <c r="B32" s="5" t="s">
        <v>13</v>
      </c>
      <c r="C32" s="5" t="s">
        <v>13</v>
      </c>
      <c r="D32" s="5" t="s">
        <v>24</v>
      </c>
      <c r="E32" s="5" t="s">
        <v>30</v>
      </c>
      <c r="F32" s="5" t="s">
        <v>13</v>
      </c>
      <c r="G32" s="5" t="s">
        <v>24</v>
      </c>
      <c r="H32" s="5" t="s">
        <v>30</v>
      </c>
      <c r="I32" s="5" t="s">
        <v>13</v>
      </c>
      <c r="J32" s="5" t="s">
        <v>24</v>
      </c>
      <c r="K32" s="5" t="s">
        <v>30</v>
      </c>
      <c r="L32" s="5" t="s">
        <v>13</v>
      </c>
      <c r="M32" s="5" t="s">
        <v>24</v>
      </c>
      <c r="N32" s="5" t="s">
        <v>30</v>
      </c>
      <c r="O32" s="5" t="s">
        <v>13</v>
      </c>
      <c r="P32" s="5" t="s">
        <v>24</v>
      </c>
    </row>
    <row r="33" spans="1:16" x14ac:dyDescent="0.35">
      <c r="A33" s="4" t="s">
        <v>5</v>
      </c>
      <c r="B33" s="5">
        <v>2</v>
      </c>
      <c r="C33" s="5">
        <v>3</v>
      </c>
      <c r="D33" s="5">
        <v>4</v>
      </c>
      <c r="E33" s="5">
        <v>1</v>
      </c>
      <c r="F33" s="5">
        <v>5</v>
      </c>
      <c r="G33" s="5">
        <v>2</v>
      </c>
      <c r="H33" s="5">
        <v>1</v>
      </c>
      <c r="I33" s="5">
        <v>3</v>
      </c>
      <c r="J33" s="5">
        <v>1</v>
      </c>
      <c r="K33" s="5">
        <v>2</v>
      </c>
      <c r="L33" s="5">
        <v>4</v>
      </c>
      <c r="M33" s="5">
        <v>1</v>
      </c>
      <c r="N33" s="5">
        <v>1</v>
      </c>
      <c r="O33" s="5">
        <v>6</v>
      </c>
      <c r="P33" s="5">
        <v>2</v>
      </c>
    </row>
    <row r="34" spans="1:16" x14ac:dyDescent="0.35">
      <c r="A34" s="4" t="s">
        <v>6</v>
      </c>
      <c r="B34" s="6">
        <v>55000</v>
      </c>
      <c r="C34" s="6">
        <v>25000</v>
      </c>
      <c r="D34" s="6">
        <v>7500</v>
      </c>
      <c r="E34" s="6">
        <v>40000</v>
      </c>
      <c r="F34" s="6">
        <v>2000</v>
      </c>
      <c r="G34" s="6">
        <v>12000</v>
      </c>
      <c r="H34" s="6">
        <v>28000</v>
      </c>
      <c r="I34" s="6">
        <v>6000</v>
      </c>
      <c r="J34" s="6">
        <v>35000</v>
      </c>
      <c r="K34" s="6">
        <v>15000</v>
      </c>
      <c r="L34" s="6">
        <v>18000</v>
      </c>
      <c r="M34" s="6">
        <v>22000</v>
      </c>
      <c r="N34" s="6">
        <v>45000</v>
      </c>
      <c r="O34" s="6">
        <v>3000</v>
      </c>
      <c r="P34" s="6">
        <v>8000</v>
      </c>
    </row>
    <row r="35" spans="1:16" ht="29" x14ac:dyDescent="0.35">
      <c r="A35" s="4" t="s">
        <v>7</v>
      </c>
      <c r="B35" s="6">
        <v>104500</v>
      </c>
      <c r="C35" s="6">
        <v>67500</v>
      </c>
      <c r="D35" s="6">
        <v>30000</v>
      </c>
      <c r="E35" s="6">
        <v>36800</v>
      </c>
      <c r="F35" s="6">
        <v>8500</v>
      </c>
      <c r="G35" s="6">
        <v>22800</v>
      </c>
      <c r="H35" s="6">
        <v>24640</v>
      </c>
      <c r="I35" s="6">
        <v>16200</v>
      </c>
      <c r="J35" s="6">
        <v>32550</v>
      </c>
      <c r="K35" s="6">
        <v>28500</v>
      </c>
      <c r="L35" s="6">
        <v>64800</v>
      </c>
      <c r="M35" s="6">
        <v>22000</v>
      </c>
      <c r="N35" s="6">
        <v>39600</v>
      </c>
      <c r="O35" s="6">
        <v>15300</v>
      </c>
      <c r="P35" s="6">
        <v>15200</v>
      </c>
    </row>
    <row r="36" spans="1:16" ht="29" x14ac:dyDescent="0.35">
      <c r="A36" s="4" t="s">
        <v>8</v>
      </c>
      <c r="B36" s="5" t="s">
        <v>14</v>
      </c>
      <c r="C36" s="5" t="s">
        <v>19</v>
      </c>
      <c r="D36" s="5" t="s">
        <v>25</v>
      </c>
      <c r="E36" s="5" t="s">
        <v>31</v>
      </c>
      <c r="F36" s="5" t="s">
        <v>19</v>
      </c>
      <c r="G36" s="5" t="s">
        <v>14</v>
      </c>
      <c r="H36" s="5" t="s">
        <v>31</v>
      </c>
      <c r="I36" s="5" t="s">
        <v>19</v>
      </c>
      <c r="J36" s="5" t="s">
        <v>14</v>
      </c>
      <c r="K36" s="5" t="s">
        <v>25</v>
      </c>
      <c r="L36" s="5" t="s">
        <v>31</v>
      </c>
      <c r="M36" s="5" t="s">
        <v>14</v>
      </c>
      <c r="N36" s="5" t="s">
        <v>19</v>
      </c>
      <c r="O36" s="5" t="s">
        <v>31</v>
      </c>
      <c r="P36" s="5" t="s">
        <v>25</v>
      </c>
    </row>
    <row r="39" spans="1:16" x14ac:dyDescent="0.35">
      <c r="C39" t="s">
        <v>72</v>
      </c>
      <c r="D39" t="s">
        <v>73</v>
      </c>
      <c r="E39" t="s">
        <v>76</v>
      </c>
    </row>
    <row r="41" spans="1:16" x14ac:dyDescent="0.35">
      <c r="C41" t="s">
        <v>9</v>
      </c>
      <c r="D41" t="e">
        <f>HLOOKUP(C41,A27:P36,28,0)</f>
        <v>#REF!</v>
      </c>
      <c r="E4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Shreena Solia</dc:creator>
  <cp:lastModifiedBy>Shreena Solia</cp:lastModifiedBy>
  <dcterms:created xsi:type="dcterms:W3CDTF">2026-08-20T06:46:33Z</dcterms:created>
  <dcterms:modified xsi:type="dcterms:W3CDTF">2026-08-20T08:09:32Z</dcterms:modified>
</cp:coreProperties>
</file>