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ena\OneDrive\Desktop\office automation tools\"/>
    </mc:Choice>
  </mc:AlternateContent>
  <xr:revisionPtr revIDLastSave="0" documentId="13_ncr:1_{C0FA55F3-B8AD-4A93-AB19-E2BF3C83E078}" xr6:coauthVersionLast="47" xr6:coauthVersionMax="47" xr10:uidLastSave="{00000000-0000-0000-0000-000000000000}"/>
  <bookViews>
    <workbookView xWindow="-110" yWindow="-110" windowWidth="19420" windowHeight="11500" activeTab="1" xr2:uid="{CE618516-17FC-4E07-8155-E73A2CA0EE16}"/>
  </bookViews>
  <sheets>
    <sheet name="Sheet1" sheetId="1" r:id="rId1"/>
    <sheet name="Sheet2" sheetId="2" r:id="rId2"/>
  </sheets>
  <definedNames>
    <definedName name="_xlnm._FilterDatabase" localSheetId="0" hidden="1">Sheet1!$C$3:$G$18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4" i="2"/>
  <c r="H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</calcChain>
</file>

<file path=xl/sharedStrings.xml><?xml version="1.0" encoding="utf-8"?>
<sst xmlns="http://schemas.openxmlformats.org/spreadsheetml/2006/main" count="55" uniqueCount="33">
  <si>
    <t>Student Name</t>
  </si>
  <si>
    <t>Subject 1</t>
  </si>
  <si>
    <t>Subject 2</t>
  </si>
  <si>
    <t>Subject 3</t>
  </si>
  <si>
    <t>Subject 4</t>
  </si>
  <si>
    <t>Aarav Sharma</t>
  </si>
  <si>
    <t>Ananya Sharma</t>
  </si>
  <si>
    <t>Roll no</t>
  </si>
  <si>
    <t>Subject 5</t>
  </si>
  <si>
    <t>Vivaan Gupta</t>
  </si>
  <si>
    <t>Diya Singh</t>
  </si>
  <si>
    <t>Ishaan Verma</t>
  </si>
  <si>
    <t>Kavya Patel</t>
  </si>
  <si>
    <t>Aarush Reddy</t>
  </si>
  <si>
    <t>Shanaya Shah</t>
  </si>
  <si>
    <t>Aditya Mehta</t>
  </si>
  <si>
    <t>Anika Joshi</t>
  </si>
  <si>
    <t>Krishna Kumar</t>
  </si>
  <si>
    <t>Siya Desai</t>
  </si>
  <si>
    <t>Arjun Iyer</t>
  </si>
  <si>
    <t>Meera Nair</t>
  </si>
  <si>
    <t>Devendra Rao</t>
  </si>
  <si>
    <t>Darshan University</t>
  </si>
  <si>
    <t>Student Marksheet</t>
  </si>
  <si>
    <t>Final Examiantion Result</t>
  </si>
  <si>
    <t>Sum</t>
  </si>
  <si>
    <t>Average</t>
  </si>
  <si>
    <t>Percentage</t>
  </si>
  <si>
    <t>Maximum</t>
  </si>
  <si>
    <t>Minimum</t>
  </si>
  <si>
    <t>Count</t>
  </si>
  <si>
    <t xml:space="preserve">Upper 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</si>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</sst>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4"/>
      <color theme="2"/>
      <name val="Cascadia Code ExtraLight"/>
      <family val="3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4" fillId="4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9" fontId="0" fillId="2" borderId="1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762E-A82D-467E-AEC5-B986E89A9E6D}">
  <dimension ref="A1:G18"/>
  <sheetViews>
    <sheetView zoomScaleNormal="100" workbookViewId="0">
      <selection activeCell="F21" sqref="F21"/>
    </sheetView>
  </sheetViews>
  <sheetFormatPr defaultRowHeight="14.5" x14ac:dyDescent="0.35"/>
  <cols>
    <col min="2" max="2" width="15.1796875" customWidth="1"/>
    <col min="3" max="3" width="14.54296875" customWidth="1"/>
    <col min="4" max="4" width="14.6328125" customWidth="1"/>
    <col min="5" max="5" width="14.54296875" customWidth="1"/>
    <col min="6" max="7" width="15.1796875" customWidth="1"/>
  </cols>
  <sheetData>
    <row r="1" spans="1:7" ht="16" x14ac:dyDescent="0.4">
      <c r="A1" s="5" t="s">
        <v>23</v>
      </c>
      <c r="B1" s="6"/>
      <c r="C1" s="6"/>
      <c r="D1" s="6"/>
      <c r="E1" s="6"/>
      <c r="F1" s="6"/>
      <c r="G1" s="6"/>
    </row>
    <row r="2" spans="1:7" ht="26" x14ac:dyDescent="0.6">
      <c r="A2" s="3" t="s">
        <v>22</v>
      </c>
      <c r="B2" s="4"/>
      <c r="C2" s="4"/>
      <c r="D2" s="4"/>
      <c r="E2" s="4"/>
      <c r="F2" s="4"/>
      <c r="G2" s="4"/>
    </row>
    <row r="3" spans="1:7" x14ac:dyDescent="0.35">
      <c r="A3" s="1" t="s">
        <v>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8</v>
      </c>
    </row>
    <row r="4" spans="1:7" x14ac:dyDescent="0.35">
      <c r="A4" s="2">
        <v>101</v>
      </c>
      <c r="B4" s="2" t="s">
        <v>5</v>
      </c>
      <c r="C4" s="2">
        <v>55</v>
      </c>
      <c r="D4" s="2">
        <v>62</v>
      </c>
      <c r="E4" s="2">
        <v>71</v>
      </c>
      <c r="F4" s="2">
        <v>68</v>
      </c>
      <c r="G4" s="2">
        <v>60</v>
      </c>
    </row>
    <row r="5" spans="1:7" x14ac:dyDescent="0.35">
      <c r="A5" s="2">
        <v>107</v>
      </c>
      <c r="B5" s="2" t="s">
        <v>13</v>
      </c>
      <c r="C5" s="2">
        <v>75</v>
      </c>
      <c r="D5" s="2">
        <v>82</v>
      </c>
      <c r="E5" s="2">
        <v>78</v>
      </c>
      <c r="F5" s="2">
        <v>74</v>
      </c>
      <c r="G5" s="2">
        <v>81</v>
      </c>
    </row>
    <row r="6" spans="1:7" x14ac:dyDescent="0.35">
      <c r="A6" s="2">
        <v>109</v>
      </c>
      <c r="B6" s="2" t="s">
        <v>15</v>
      </c>
      <c r="C6" s="2">
        <v>81</v>
      </c>
      <c r="D6" s="2">
        <v>79</v>
      </c>
      <c r="E6" s="2">
        <v>82</v>
      </c>
      <c r="F6" s="2">
        <v>80</v>
      </c>
      <c r="G6" s="2">
        <v>85</v>
      </c>
    </row>
    <row r="7" spans="1:7" x14ac:dyDescent="0.35">
      <c r="A7" s="2">
        <v>104</v>
      </c>
      <c r="B7" s="2" t="s">
        <v>6</v>
      </c>
      <c r="C7" s="2">
        <v>78</v>
      </c>
      <c r="D7" s="2">
        <v>85</v>
      </c>
      <c r="E7" s="2">
        <v>92</v>
      </c>
      <c r="F7" s="2">
        <v>88</v>
      </c>
      <c r="G7" s="2">
        <v>74</v>
      </c>
    </row>
    <row r="8" spans="1:7" x14ac:dyDescent="0.35">
      <c r="A8" s="2">
        <v>110</v>
      </c>
      <c r="B8" s="2" t="s">
        <v>16</v>
      </c>
      <c r="C8" s="2">
        <v>90</v>
      </c>
      <c r="D8" s="2">
        <v>88</v>
      </c>
      <c r="E8" s="2">
        <v>95</v>
      </c>
      <c r="F8" s="2">
        <v>91</v>
      </c>
      <c r="G8" s="2">
        <v>85</v>
      </c>
    </row>
    <row r="9" spans="1:7" x14ac:dyDescent="0.35">
      <c r="A9" s="2">
        <v>113</v>
      </c>
      <c r="B9" s="2" t="s">
        <v>19</v>
      </c>
      <c r="C9" s="2">
        <v>89</v>
      </c>
      <c r="D9" s="2">
        <v>87</v>
      </c>
      <c r="E9" s="2">
        <v>91</v>
      </c>
      <c r="F9" s="2">
        <v>85</v>
      </c>
      <c r="G9" s="2">
        <v>90</v>
      </c>
    </row>
    <row r="10" spans="1:7" x14ac:dyDescent="0.35">
      <c r="A10" s="2">
        <v>115</v>
      </c>
      <c r="B10" s="2" t="s">
        <v>21</v>
      </c>
      <c r="C10" s="2">
        <v>94</v>
      </c>
      <c r="D10" s="2">
        <v>91</v>
      </c>
      <c r="E10" s="2">
        <v>96</v>
      </c>
      <c r="F10" s="2">
        <v>93</v>
      </c>
      <c r="G10" s="2">
        <v>92</v>
      </c>
    </row>
    <row r="11" spans="1:7" x14ac:dyDescent="0.35">
      <c r="A11" s="2">
        <v>103</v>
      </c>
      <c r="B11" s="2" t="s">
        <v>10</v>
      </c>
      <c r="C11" s="2">
        <v>65</v>
      </c>
      <c r="D11" s="2">
        <v>72</v>
      </c>
      <c r="E11" s="2">
        <v>80</v>
      </c>
      <c r="F11" s="2">
        <v>75</v>
      </c>
      <c r="G11" s="2">
        <v>70</v>
      </c>
    </row>
    <row r="12" spans="1:7" x14ac:dyDescent="0.35">
      <c r="A12" s="2">
        <v>105</v>
      </c>
      <c r="B12" s="2" t="s">
        <v>11</v>
      </c>
      <c r="C12" s="2">
        <v>70</v>
      </c>
      <c r="D12" s="2">
        <v>65</v>
      </c>
      <c r="E12" s="2">
        <v>72</v>
      </c>
      <c r="F12" s="2">
        <v>68</v>
      </c>
      <c r="G12" s="2">
        <v>75</v>
      </c>
    </row>
    <row r="13" spans="1:7" x14ac:dyDescent="0.35">
      <c r="A13" s="2">
        <v>106</v>
      </c>
      <c r="B13" s="2" t="s">
        <v>12</v>
      </c>
      <c r="C13" s="2">
        <v>72</v>
      </c>
      <c r="D13" s="2">
        <v>84</v>
      </c>
      <c r="E13" s="2">
        <v>79</v>
      </c>
      <c r="F13" s="2">
        <v>82</v>
      </c>
      <c r="G13" s="2">
        <v>77</v>
      </c>
    </row>
    <row r="14" spans="1:7" x14ac:dyDescent="0.35">
      <c r="A14" s="2">
        <v>111</v>
      </c>
      <c r="B14" s="2" t="s">
        <v>17</v>
      </c>
      <c r="C14" s="2">
        <v>88</v>
      </c>
      <c r="D14" s="2">
        <v>90</v>
      </c>
      <c r="E14" s="2">
        <v>85</v>
      </c>
      <c r="F14" s="2">
        <v>92</v>
      </c>
      <c r="G14" s="2">
        <v>87</v>
      </c>
    </row>
    <row r="15" spans="1:7" x14ac:dyDescent="0.35">
      <c r="A15" s="2">
        <v>114</v>
      </c>
      <c r="B15" s="2" t="s">
        <v>20</v>
      </c>
      <c r="C15" s="2">
        <v>82</v>
      </c>
      <c r="D15" s="2">
        <v>76</v>
      </c>
      <c r="E15" s="2">
        <v>89</v>
      </c>
      <c r="F15" s="2">
        <v>84</v>
      </c>
      <c r="G15" s="2">
        <v>91</v>
      </c>
    </row>
    <row r="16" spans="1:7" x14ac:dyDescent="0.35">
      <c r="A16" s="2">
        <v>108</v>
      </c>
      <c r="B16" s="2" t="s">
        <v>14</v>
      </c>
      <c r="C16" s="2">
        <v>84</v>
      </c>
      <c r="D16" s="2">
        <v>80</v>
      </c>
      <c r="E16" s="2">
        <v>85</v>
      </c>
      <c r="F16" s="2">
        <v>78</v>
      </c>
      <c r="G16" s="2">
        <v>82</v>
      </c>
    </row>
    <row r="17" spans="1:7" x14ac:dyDescent="0.35">
      <c r="A17" s="2">
        <v>112</v>
      </c>
      <c r="B17" s="2" t="s">
        <v>18</v>
      </c>
      <c r="C17" s="2">
        <v>92</v>
      </c>
      <c r="D17" s="2">
        <v>95</v>
      </c>
      <c r="E17" s="2">
        <v>88</v>
      </c>
      <c r="F17" s="2">
        <v>91</v>
      </c>
      <c r="G17" s="2">
        <v>89</v>
      </c>
    </row>
    <row r="18" spans="1:7" x14ac:dyDescent="0.35">
      <c r="A18" s="2">
        <v>102</v>
      </c>
      <c r="B18" s="2" t="s">
        <v>9</v>
      </c>
      <c r="C18" s="2">
        <v>60</v>
      </c>
      <c r="D18" s="2">
        <v>68</v>
      </c>
      <c r="E18" s="2">
        <v>65</v>
      </c>
      <c r="F18" s="2">
        <v>72</v>
      </c>
      <c r="G18" s="2">
        <v>64</v>
      </c>
    </row>
  </sheetData>
  <autoFilter ref="C3:G18" xr:uid="{0BBC762E-A82D-467E-AEC5-B986E89A9E6D}">
    <sortState xmlns:xlrd2="http://schemas.microsoft.com/office/spreadsheetml/2017/richdata2" ref="C4:G18">
      <sortCondition ref="G3"/>
    </sortState>
  </autoFilter>
  <sortState xmlns:xlrd2="http://schemas.microsoft.com/office/spreadsheetml/2017/richdata2" ref="A4:G18">
    <sortCondition ref="B4:B18"/>
  </sortState>
  <mergeCells count="2">
    <mergeCell ref="A2:G2"/>
    <mergeCell ref="A1:G1"/>
  </mergeCells>
  <dataValidations count="1">
    <dataValidation type="whole" allowBlank="1" showInputMessage="1" showErrorMessage="1" prompt="Enter marks between 33 and 100" sqref="C4:G18" xr:uid="{4EC83128-5BEE-40E8-80B8-DB52623ACAF5}">
      <formula1>33</formula1>
      <formula2>100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613E-7363-4793-9BC0-ED43736BC785}">
  <dimension ref="A1:O18"/>
  <sheetViews>
    <sheetView tabSelected="1" workbookViewId="0">
      <selection activeCell="A20" sqref="A20"/>
    </sheetView>
  </sheetViews>
  <sheetFormatPr defaultRowHeight="14.5" x14ac:dyDescent="0.35"/>
  <cols>
    <col min="1" max="1" width="11.08984375" customWidth="1"/>
    <col min="2" max="2" width="17.90625" customWidth="1"/>
    <col min="3" max="3" width="9.7265625" customWidth="1"/>
    <col min="4" max="4" width="11.26953125" customWidth="1"/>
    <col min="5" max="5" width="10.90625" customWidth="1"/>
    <col min="6" max="6" width="11.6328125" customWidth="1"/>
    <col min="7" max="7" width="13.36328125" customWidth="1"/>
    <col min="8" max="8" width="12.36328125" customWidth="1"/>
    <col min="9" max="13" width="13.36328125" customWidth="1"/>
    <col min="14" max="14" width="15.7265625" customWidth="1"/>
    <col min="15" max="15" width="13.36328125" customWidth="1"/>
  </cols>
  <sheetData>
    <row r="1" spans="1:15" ht="14.5" customHeight="1" x14ac:dyDescent="0.35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4.5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35">
      <c r="A3" s="1" t="s">
        <v>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8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</row>
    <row r="4" spans="1:15" x14ac:dyDescent="0.35">
      <c r="A4" s="2">
        <v>101</v>
      </c>
      <c r="B4" s="2" t="s">
        <v>5</v>
      </c>
      <c r="C4" s="2">
        <v>55</v>
      </c>
      <c r="D4" s="2">
        <v>62</v>
      </c>
      <c r="E4" s="2">
        <v>71</v>
      </c>
      <c r="F4" s="2">
        <v>68</v>
      </c>
      <c r="G4" s="2">
        <v>60</v>
      </c>
      <c r="H4" s="2">
        <f>SUM(C4:G4)</f>
        <v>316</v>
      </c>
      <c r="I4" s="2">
        <f>AVERAGE(C4:G4)</f>
        <v>63.2</v>
      </c>
      <c r="J4" s="8">
        <f>AVERAGE(C4:G4)/100</f>
        <v>0.63200000000000001</v>
      </c>
      <c r="K4" s="2">
        <f>MAX(C4:G4)</f>
        <v>71</v>
      </c>
      <c r="L4" s="2">
        <f>MIN(C4:G4)</f>
        <v>55</v>
      </c>
      <c r="M4" s="2">
        <f>COUNT(C4:G4)</f>
        <v>5</v>
      </c>
      <c r="N4" s="2" t="str">
        <f>UPPER(B4)</f>
        <v>AARAV SHARMA</v>
      </c>
      <c r="O4" s="2" t="str">
        <f>LOWER(B4)</f>
        <v>aarav sharma</v>
      </c>
    </row>
    <row r="5" spans="1:15" x14ac:dyDescent="0.35">
      <c r="A5" s="2">
        <v>107</v>
      </c>
      <c r="B5" s="2" t="s">
        <v>13</v>
      </c>
      <c r="C5" s="2">
        <v>75</v>
      </c>
      <c r="D5" s="2">
        <v>82</v>
      </c>
      <c r="E5" s="2">
        <v>78</v>
      </c>
      <c r="F5" s="2">
        <v>74</v>
      </c>
      <c r="G5" s="2">
        <v>81</v>
      </c>
      <c r="H5" s="2">
        <f t="shared" ref="H5:H18" si="0">SUM(C5:G5)</f>
        <v>390</v>
      </c>
      <c r="I5" s="2">
        <f t="shared" ref="I5:I18" si="1">AVERAGE(C5:G5)</f>
        <v>78</v>
      </c>
      <c r="J5" s="8">
        <f t="shared" ref="J5:J18" si="2">AVERAGE(C5:G5)/100</f>
        <v>0.78</v>
      </c>
      <c r="K5" s="2">
        <f t="shared" ref="K5:K18" si="3">MAX(C5:G5)</f>
        <v>82</v>
      </c>
      <c r="L5" s="2">
        <f t="shared" ref="L5:L18" si="4">MIN(C5:G5)</f>
        <v>74</v>
      </c>
      <c r="M5" s="2">
        <f t="shared" ref="M5:M18" si="5">COUNT(C5:G5)</f>
        <v>5</v>
      </c>
      <c r="N5" s="2" t="str">
        <f t="shared" ref="N5:N18" si="6">UPPER(B5)</f>
        <v>AARUSH REDDY</v>
      </c>
      <c r="O5" s="2" t="str">
        <f t="shared" ref="O5:O18" si="7">LOWER(B5)</f>
        <v>aarush reddy</v>
      </c>
    </row>
    <row r="6" spans="1:15" x14ac:dyDescent="0.35">
      <c r="A6" s="2">
        <v>109</v>
      </c>
      <c r="B6" s="2" t="s">
        <v>15</v>
      </c>
      <c r="C6" s="2">
        <v>81</v>
      </c>
      <c r="D6" s="2">
        <v>79</v>
      </c>
      <c r="E6" s="2">
        <v>82</v>
      </c>
      <c r="F6" s="2">
        <v>80</v>
      </c>
      <c r="G6" s="2">
        <v>85</v>
      </c>
      <c r="H6" s="2">
        <f t="shared" si="0"/>
        <v>407</v>
      </c>
      <c r="I6" s="2">
        <f t="shared" si="1"/>
        <v>81.400000000000006</v>
      </c>
      <c r="J6" s="8">
        <f t="shared" si="2"/>
        <v>0.81400000000000006</v>
      </c>
      <c r="K6" s="2">
        <f t="shared" si="3"/>
        <v>85</v>
      </c>
      <c r="L6" s="2">
        <f t="shared" si="4"/>
        <v>79</v>
      </c>
      <c r="M6" s="2">
        <f t="shared" si="5"/>
        <v>5</v>
      </c>
      <c r="N6" s="2" t="str">
        <f t="shared" si="6"/>
        <v>ADITYA MEHTA</v>
      </c>
      <c r="O6" s="2" t="str">
        <f t="shared" si="7"/>
        <v>aditya mehta</v>
      </c>
    </row>
    <row r="7" spans="1:15" x14ac:dyDescent="0.35">
      <c r="A7" s="2">
        <v>104</v>
      </c>
      <c r="B7" s="2" t="s">
        <v>6</v>
      </c>
      <c r="C7" s="2">
        <v>78</v>
      </c>
      <c r="D7" s="2">
        <v>85</v>
      </c>
      <c r="E7" s="2">
        <v>92</v>
      </c>
      <c r="F7" s="2">
        <v>88</v>
      </c>
      <c r="G7" s="2">
        <v>74</v>
      </c>
      <c r="H7" s="2">
        <f t="shared" si="0"/>
        <v>417</v>
      </c>
      <c r="I7" s="2">
        <f t="shared" si="1"/>
        <v>83.4</v>
      </c>
      <c r="J7" s="8">
        <f t="shared" si="2"/>
        <v>0.83400000000000007</v>
      </c>
      <c r="K7" s="2">
        <f t="shared" si="3"/>
        <v>92</v>
      </c>
      <c r="L7" s="2">
        <f t="shared" si="4"/>
        <v>74</v>
      </c>
      <c r="M7" s="2">
        <f t="shared" si="5"/>
        <v>5</v>
      </c>
      <c r="N7" s="2" t="str">
        <f t="shared" si="6"/>
        <v>ANANYA SHARMA</v>
      </c>
      <c r="O7" s="2" t="str">
        <f t="shared" si="7"/>
        <v>ananya sharma</v>
      </c>
    </row>
    <row r="8" spans="1:15" x14ac:dyDescent="0.35">
      <c r="A8" s="2">
        <v>110</v>
      </c>
      <c r="B8" s="2" t="s">
        <v>16</v>
      </c>
      <c r="C8" s="2">
        <v>90</v>
      </c>
      <c r="D8" s="2">
        <v>88</v>
      </c>
      <c r="E8" s="2">
        <v>95</v>
      </c>
      <c r="F8" s="2">
        <v>91</v>
      </c>
      <c r="G8" s="2">
        <v>85</v>
      </c>
      <c r="H8" s="2">
        <f t="shared" si="0"/>
        <v>449</v>
      </c>
      <c r="I8" s="2">
        <f t="shared" si="1"/>
        <v>89.8</v>
      </c>
      <c r="J8" s="8">
        <f t="shared" si="2"/>
        <v>0.89800000000000002</v>
      </c>
      <c r="K8" s="2">
        <f t="shared" si="3"/>
        <v>95</v>
      </c>
      <c r="L8" s="2">
        <f t="shared" si="4"/>
        <v>85</v>
      </c>
      <c r="M8" s="2">
        <f t="shared" si="5"/>
        <v>5</v>
      </c>
      <c r="N8" s="2" t="str">
        <f t="shared" si="6"/>
        <v>ANIKA JOSHI</v>
      </c>
      <c r="O8" s="2" t="str">
        <f t="shared" si="7"/>
        <v>anika joshi</v>
      </c>
    </row>
    <row r="9" spans="1:15" x14ac:dyDescent="0.35">
      <c r="A9" s="2">
        <v>113</v>
      </c>
      <c r="B9" s="2" t="s">
        <v>19</v>
      </c>
      <c r="C9" s="2">
        <v>89</v>
      </c>
      <c r="D9" s="2">
        <v>87</v>
      </c>
      <c r="E9" s="2">
        <v>91</v>
      </c>
      <c r="F9" s="2">
        <v>85</v>
      </c>
      <c r="G9" s="2">
        <v>90</v>
      </c>
      <c r="H9" s="2">
        <f t="shared" si="0"/>
        <v>442</v>
      </c>
      <c r="I9" s="2">
        <f t="shared" si="1"/>
        <v>88.4</v>
      </c>
      <c r="J9" s="8">
        <f t="shared" si="2"/>
        <v>0.88400000000000001</v>
      </c>
      <c r="K9" s="2">
        <f t="shared" si="3"/>
        <v>91</v>
      </c>
      <c r="L9" s="2">
        <f t="shared" si="4"/>
        <v>85</v>
      </c>
      <c r="M9" s="2">
        <f t="shared" si="5"/>
        <v>5</v>
      </c>
      <c r="N9" s="2" t="str">
        <f t="shared" si="6"/>
        <v>ARJUN IYER</v>
      </c>
      <c r="O9" s="2" t="str">
        <f t="shared" si="7"/>
        <v>arjun iyer</v>
      </c>
    </row>
    <row r="10" spans="1:15" x14ac:dyDescent="0.35">
      <c r="A10" s="2">
        <v>115</v>
      </c>
      <c r="B10" s="2" t="s">
        <v>21</v>
      </c>
      <c r="C10" s="2">
        <v>94</v>
      </c>
      <c r="D10" s="2">
        <v>91</v>
      </c>
      <c r="E10" s="2">
        <v>96</v>
      </c>
      <c r="F10" s="2">
        <v>93</v>
      </c>
      <c r="G10" s="2">
        <v>92</v>
      </c>
      <c r="H10" s="2">
        <f t="shared" si="0"/>
        <v>466</v>
      </c>
      <c r="I10" s="2">
        <f t="shared" si="1"/>
        <v>93.2</v>
      </c>
      <c r="J10" s="8">
        <f t="shared" si="2"/>
        <v>0.93200000000000005</v>
      </c>
      <c r="K10" s="2">
        <f t="shared" si="3"/>
        <v>96</v>
      </c>
      <c r="L10" s="2">
        <f t="shared" si="4"/>
        <v>91</v>
      </c>
      <c r="M10" s="2">
        <f t="shared" si="5"/>
        <v>5</v>
      </c>
      <c r="N10" s="2" t="str">
        <f t="shared" si="6"/>
        <v>DEVENDRA RAO</v>
      </c>
      <c r="O10" s="2" t="str">
        <f t="shared" si="7"/>
        <v>devendra rao</v>
      </c>
    </row>
    <row r="11" spans="1:15" x14ac:dyDescent="0.35">
      <c r="A11" s="2">
        <v>103</v>
      </c>
      <c r="B11" s="2" t="s">
        <v>10</v>
      </c>
      <c r="C11" s="2">
        <v>65</v>
      </c>
      <c r="D11" s="2">
        <v>72</v>
      </c>
      <c r="E11" s="2">
        <v>80</v>
      </c>
      <c r="F11" s="2">
        <v>75</v>
      </c>
      <c r="G11" s="2">
        <v>70</v>
      </c>
      <c r="H11" s="2">
        <f t="shared" si="0"/>
        <v>362</v>
      </c>
      <c r="I11" s="2">
        <f t="shared" si="1"/>
        <v>72.400000000000006</v>
      </c>
      <c r="J11" s="8">
        <f t="shared" si="2"/>
        <v>0.72400000000000009</v>
      </c>
      <c r="K11" s="2">
        <f t="shared" si="3"/>
        <v>80</v>
      </c>
      <c r="L11" s="2">
        <f t="shared" si="4"/>
        <v>65</v>
      </c>
      <c r="M11" s="2">
        <f t="shared" si="5"/>
        <v>5</v>
      </c>
      <c r="N11" s="2" t="str">
        <f t="shared" si="6"/>
        <v>DIYA SINGH</v>
      </c>
      <c r="O11" s="2" t="str">
        <f t="shared" si="7"/>
        <v>diya singh</v>
      </c>
    </row>
    <row r="12" spans="1:15" x14ac:dyDescent="0.35">
      <c r="A12" s="2">
        <v>105</v>
      </c>
      <c r="B12" s="2" t="s">
        <v>11</v>
      </c>
      <c r="C12" s="2">
        <v>70</v>
      </c>
      <c r="D12" s="2">
        <v>65</v>
      </c>
      <c r="E12" s="2">
        <v>72</v>
      </c>
      <c r="F12" s="2">
        <v>68</v>
      </c>
      <c r="G12" s="2">
        <v>75</v>
      </c>
      <c r="H12" s="2">
        <f t="shared" si="0"/>
        <v>350</v>
      </c>
      <c r="I12" s="2">
        <f t="shared" si="1"/>
        <v>70</v>
      </c>
      <c r="J12" s="8">
        <f t="shared" si="2"/>
        <v>0.7</v>
      </c>
      <c r="K12" s="2">
        <f t="shared" si="3"/>
        <v>75</v>
      </c>
      <c r="L12" s="2">
        <f t="shared" si="4"/>
        <v>65</v>
      </c>
      <c r="M12" s="2">
        <f t="shared" si="5"/>
        <v>5</v>
      </c>
      <c r="N12" s="2" t="str">
        <f t="shared" si="6"/>
        <v>ISHAAN VERMA</v>
      </c>
      <c r="O12" s="2" t="str">
        <f t="shared" si="7"/>
        <v>ishaan verma</v>
      </c>
    </row>
    <row r="13" spans="1:15" x14ac:dyDescent="0.35">
      <c r="A13" s="2">
        <v>106</v>
      </c>
      <c r="B13" s="2" t="s">
        <v>12</v>
      </c>
      <c r="C13" s="2">
        <v>72</v>
      </c>
      <c r="D13" s="2">
        <v>84</v>
      </c>
      <c r="E13" s="2">
        <v>79</v>
      </c>
      <c r="F13" s="2">
        <v>82</v>
      </c>
      <c r="G13" s="2">
        <v>77</v>
      </c>
      <c r="H13" s="2">
        <f t="shared" si="0"/>
        <v>394</v>
      </c>
      <c r="I13" s="2">
        <f t="shared" si="1"/>
        <v>78.8</v>
      </c>
      <c r="J13" s="8">
        <f t="shared" si="2"/>
        <v>0.78799999999999992</v>
      </c>
      <c r="K13" s="2">
        <f t="shared" si="3"/>
        <v>84</v>
      </c>
      <c r="L13" s="2">
        <f t="shared" si="4"/>
        <v>72</v>
      </c>
      <c r="M13" s="2">
        <f t="shared" si="5"/>
        <v>5</v>
      </c>
      <c r="N13" s="2" t="str">
        <f t="shared" si="6"/>
        <v>KAVYA PATEL</v>
      </c>
      <c r="O13" s="2" t="str">
        <f t="shared" si="7"/>
        <v>kavya patel</v>
      </c>
    </row>
    <row r="14" spans="1:15" x14ac:dyDescent="0.35">
      <c r="A14" s="2">
        <v>111</v>
      </c>
      <c r="B14" s="2" t="s">
        <v>17</v>
      </c>
      <c r="C14" s="2">
        <v>88</v>
      </c>
      <c r="D14" s="2">
        <v>90</v>
      </c>
      <c r="E14" s="2">
        <v>85</v>
      </c>
      <c r="F14" s="2">
        <v>92</v>
      </c>
      <c r="G14" s="2">
        <v>87</v>
      </c>
      <c r="H14" s="2">
        <f t="shared" si="0"/>
        <v>442</v>
      </c>
      <c r="I14" s="2">
        <f t="shared" si="1"/>
        <v>88.4</v>
      </c>
      <c r="J14" s="8">
        <f t="shared" si="2"/>
        <v>0.88400000000000001</v>
      </c>
      <c r="K14" s="2">
        <f t="shared" si="3"/>
        <v>92</v>
      </c>
      <c r="L14" s="2">
        <f t="shared" si="4"/>
        <v>85</v>
      </c>
      <c r="M14" s="2">
        <f t="shared" si="5"/>
        <v>5</v>
      </c>
      <c r="N14" s="2" t="str">
        <f t="shared" si="6"/>
        <v>KRISHNA KUMAR</v>
      </c>
      <c r="O14" s="2" t="str">
        <f t="shared" si="7"/>
        <v>krishna kumar</v>
      </c>
    </row>
    <row r="15" spans="1:15" x14ac:dyDescent="0.35">
      <c r="A15" s="2">
        <v>114</v>
      </c>
      <c r="B15" s="2" t="s">
        <v>20</v>
      </c>
      <c r="C15" s="2">
        <v>82</v>
      </c>
      <c r="D15" s="2">
        <v>76</v>
      </c>
      <c r="E15" s="2">
        <v>89</v>
      </c>
      <c r="F15" s="2">
        <v>84</v>
      </c>
      <c r="G15" s="2">
        <v>91</v>
      </c>
      <c r="H15" s="2">
        <f t="shared" si="0"/>
        <v>422</v>
      </c>
      <c r="I15" s="2">
        <f t="shared" si="1"/>
        <v>84.4</v>
      </c>
      <c r="J15" s="8">
        <f t="shared" si="2"/>
        <v>0.84400000000000008</v>
      </c>
      <c r="K15" s="2">
        <f t="shared" si="3"/>
        <v>91</v>
      </c>
      <c r="L15" s="2">
        <f t="shared" si="4"/>
        <v>76</v>
      </c>
      <c r="M15" s="2">
        <f t="shared" si="5"/>
        <v>5</v>
      </c>
      <c r="N15" s="2" t="str">
        <f t="shared" si="6"/>
        <v>MEERA NAIR</v>
      </c>
      <c r="O15" s="2" t="str">
        <f t="shared" si="7"/>
        <v>meera nair</v>
      </c>
    </row>
    <row r="16" spans="1:15" x14ac:dyDescent="0.35">
      <c r="A16" s="2">
        <v>108</v>
      </c>
      <c r="B16" s="2" t="s">
        <v>14</v>
      </c>
      <c r="C16" s="2">
        <v>84</v>
      </c>
      <c r="D16" s="2">
        <v>80</v>
      </c>
      <c r="E16" s="2">
        <v>85</v>
      </c>
      <c r="F16" s="2">
        <v>78</v>
      </c>
      <c r="G16" s="2">
        <v>82</v>
      </c>
      <c r="H16" s="2">
        <f t="shared" si="0"/>
        <v>409</v>
      </c>
      <c r="I16" s="2">
        <f t="shared" si="1"/>
        <v>81.8</v>
      </c>
      <c r="J16" s="8">
        <f t="shared" si="2"/>
        <v>0.81799999999999995</v>
      </c>
      <c r="K16" s="2">
        <f t="shared" si="3"/>
        <v>85</v>
      </c>
      <c r="L16" s="2">
        <f t="shared" si="4"/>
        <v>78</v>
      </c>
      <c r="M16" s="2">
        <f t="shared" si="5"/>
        <v>5</v>
      </c>
      <c r="N16" s="2" t="str">
        <f t="shared" si="6"/>
        <v>SHANAYA SHAH</v>
      </c>
      <c r="O16" s="2" t="str">
        <f t="shared" si="7"/>
        <v>shanaya shah</v>
      </c>
    </row>
    <row r="17" spans="1:15" x14ac:dyDescent="0.35">
      <c r="A17" s="2">
        <v>112</v>
      </c>
      <c r="B17" s="2" t="s">
        <v>18</v>
      </c>
      <c r="C17" s="2">
        <v>92</v>
      </c>
      <c r="D17" s="2">
        <v>95</v>
      </c>
      <c r="E17" s="2">
        <v>88</v>
      </c>
      <c r="F17" s="2">
        <v>91</v>
      </c>
      <c r="G17" s="2">
        <v>89</v>
      </c>
      <c r="H17" s="2">
        <f t="shared" si="0"/>
        <v>455</v>
      </c>
      <c r="I17" s="2">
        <f t="shared" si="1"/>
        <v>91</v>
      </c>
      <c r="J17" s="8">
        <f t="shared" si="2"/>
        <v>0.91</v>
      </c>
      <c r="K17" s="2">
        <f t="shared" si="3"/>
        <v>95</v>
      </c>
      <c r="L17" s="2">
        <f t="shared" si="4"/>
        <v>88</v>
      </c>
      <c r="M17" s="2">
        <f t="shared" si="5"/>
        <v>5</v>
      </c>
      <c r="N17" s="2" t="str">
        <f t="shared" si="6"/>
        <v>SIYA DESAI</v>
      </c>
      <c r="O17" s="2" t="str">
        <f t="shared" si="7"/>
        <v>siya desai</v>
      </c>
    </row>
    <row r="18" spans="1:15" x14ac:dyDescent="0.35">
      <c r="A18" s="2">
        <v>102</v>
      </c>
      <c r="B18" s="2" t="s">
        <v>9</v>
      </c>
      <c r="C18" s="2">
        <v>60</v>
      </c>
      <c r="D18" s="2">
        <v>68</v>
      </c>
      <c r="E18" s="2">
        <v>65</v>
      </c>
      <c r="F18" s="2">
        <v>72</v>
      </c>
      <c r="G18" s="2">
        <v>64</v>
      </c>
      <c r="H18" s="2">
        <f t="shared" si="0"/>
        <v>329</v>
      </c>
      <c r="I18" s="2">
        <f t="shared" si="1"/>
        <v>65.8</v>
      </c>
      <c r="J18" s="8">
        <f t="shared" si="2"/>
        <v>0.65799999999999992</v>
      </c>
      <c r="K18" s="2">
        <f t="shared" si="3"/>
        <v>72</v>
      </c>
      <c r="L18" s="2">
        <f t="shared" si="4"/>
        <v>60</v>
      </c>
      <c r="M18" s="2">
        <f t="shared" si="5"/>
        <v>5</v>
      </c>
      <c r="N18" s="2" t="str">
        <f t="shared" si="6"/>
        <v>VIVAAN GUPTA</v>
      </c>
      <c r="O18" s="2" t="str">
        <f t="shared" si="7"/>
        <v>vivaan gupta</v>
      </c>
    </row>
  </sheetData>
  <mergeCells count="1">
    <mergeCell ref="A1:O2"/>
  </mergeCells>
  <dataValidations count="1">
    <dataValidation type="whole" allowBlank="1" showInputMessage="1" showErrorMessage="1" prompt="Enter marks between 33 and 100" sqref="C4:G18" xr:uid="{8308021D-1BF5-46B8-841E-CD615DE6D00F}">
      <formula1>33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Shreena Solia</dc:creator>
  <cp:lastModifiedBy>Shreena Solia</cp:lastModifiedBy>
  <dcterms:created xsi:type="dcterms:W3CDTF">2026-07-23T07:00:36Z</dcterms:created>
  <dcterms:modified xsi:type="dcterms:W3CDTF">2026-07-30T07:12:24Z</dcterms:modified>
</cp:coreProperties>
</file>